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 Drive\D.S.P Construction\FY 2023-24\Sales Details\Malganga constr\"/>
    </mc:Choice>
  </mc:AlternateContent>
  <xr:revisionPtr revIDLastSave="0" documentId="13_ncr:1_{C5203D2A-5706-4DB7-B614-C3D45B39F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8" i="1" l="1"/>
  <c r="I68" i="1" l="1"/>
</calcChain>
</file>

<file path=xl/sharedStrings.xml><?xml version="1.0" encoding="utf-8"?>
<sst xmlns="http://schemas.openxmlformats.org/spreadsheetml/2006/main" count="106" uniqueCount="34">
  <si>
    <t>Date</t>
  </si>
  <si>
    <t>Particulars</t>
  </si>
  <si>
    <t xml:space="preserve">Debit </t>
  </si>
  <si>
    <t>Credit</t>
  </si>
  <si>
    <t>To (as per details)</t>
  </si>
  <si>
    <t>Voucher Type</t>
  </si>
  <si>
    <t>Sales</t>
  </si>
  <si>
    <t xml:space="preserve">Sales   </t>
  </si>
  <si>
    <t>Round Off</t>
  </si>
  <si>
    <t>By IDBI Bank CA- 1788102000004800</t>
  </si>
  <si>
    <t>Receipt</t>
  </si>
  <si>
    <t>SGST 2.5%</t>
  </si>
  <si>
    <t>CGST 2.5%</t>
  </si>
  <si>
    <t>03.07.2023</t>
  </si>
  <si>
    <t>01.08.2023</t>
  </si>
  <si>
    <t>02.09.2023</t>
  </si>
  <si>
    <t>Balance</t>
  </si>
  <si>
    <t>05.07.2023</t>
  </si>
  <si>
    <t>10.07.2023</t>
  </si>
  <si>
    <t>22.07.2023</t>
  </si>
  <si>
    <t>17.07.2023</t>
  </si>
  <si>
    <t>25.07.2023</t>
  </si>
  <si>
    <t>28.07.2023</t>
  </si>
  <si>
    <t>09.09.2023</t>
  </si>
  <si>
    <t>04.10.2023</t>
  </si>
  <si>
    <t>13.09.2023</t>
  </si>
  <si>
    <t>15.08.2023</t>
  </si>
  <si>
    <r>
      <t xml:space="preserve">Malganga Construction
Ledger Account
</t>
    </r>
    <r>
      <rPr>
        <sz val="18"/>
        <color theme="1"/>
        <rFont val="Calibri"/>
        <family val="2"/>
        <scheme val="minor"/>
      </rPr>
      <t>03.07.2023 to 04.10.2023</t>
    </r>
  </si>
  <si>
    <t>01.11.2023</t>
  </si>
  <si>
    <t>11.12.2023</t>
  </si>
  <si>
    <t>29.11.2023</t>
  </si>
  <si>
    <t>12.12.2023</t>
  </si>
  <si>
    <t>17.1.2024</t>
  </si>
  <si>
    <t>21.2.2024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</si>
</sst>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2" fontId="1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4" fillId="0" borderId="6" xfId="0" applyFont="1" applyBorder="1"/>
    <xf numFmtId="0" fontId="1" fillId="0" borderId="1" xfId="0" applyFont="1" applyBorder="1"/>
    <xf numFmtId="2" fontId="1" fillId="0" borderId="1" xfId="0" applyNumberFormat="1" applyFont="1" applyBorder="1"/>
    <xf numFmtId="2" fontId="2" fillId="0" borderId="6" xfId="0" applyNumberFormat="1" applyFont="1" applyBorder="1" applyAlignment="1">
      <alignment horizontal="right"/>
    </xf>
    <xf numFmtId="0" fontId="1" fillId="0" borderId="8" xfId="0" applyFont="1" applyBorder="1"/>
    <xf numFmtId="2" fontId="1" fillId="0" borderId="6" xfId="0" applyNumberFormat="1" applyFont="1" applyBorder="1"/>
    <xf numFmtId="0" fontId="1" fillId="0" borderId="6" xfId="0" applyFont="1" applyBorder="1"/>
    <xf numFmtId="0" fontId="1" fillId="0" borderId="9" xfId="0" applyFont="1" applyBorder="1" applyAlignment="1">
      <alignment horizontal="left"/>
    </xf>
    <xf numFmtId="0" fontId="9" fillId="0" borderId="0" xfId="0" applyFont="1"/>
    <xf numFmtId="0" fontId="4" fillId="0" borderId="8" xfId="0" applyFont="1" applyBorder="1"/>
    <xf numFmtId="165" fontId="1" fillId="0" borderId="6" xfId="0" applyNumberFormat="1" applyFont="1" applyBorder="1"/>
    <xf numFmtId="2" fontId="1" fillId="0" borderId="7" xfId="0" applyNumberFormat="1" applyFont="1" applyBorder="1"/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" fillId="0" borderId="2" xfId="0" applyFont="1" applyBorder="1"/>
    <xf numFmtId="0" fontId="1" fillId="0" borderId="7" xfId="0" applyFont="1" applyBorder="1"/>
    <xf numFmtId="0" fontId="4" fillId="0" borderId="0" xfId="0" applyFont="1"/>
    <xf numFmtId="2" fontId="7" fillId="0" borderId="1" xfId="0" applyNumberFormat="1" applyFont="1" applyBorder="1"/>
    <xf numFmtId="0" fontId="1" fillId="0" borderId="3" xfId="0" applyFont="1" applyBorder="1" applyAlignment="1">
      <alignment horizontal="left"/>
    </xf>
    <xf numFmtId="2" fontId="5" fillId="0" borderId="0" xfId="0" applyNumberFormat="1" applyFont="1"/>
    <xf numFmtId="0" fontId="9" fillId="0" borderId="4" xfId="0" applyFont="1" applyBorder="1" applyAlignment="1">
      <alignment horizontal="left"/>
    </xf>
    <xf numFmtId="0" fontId="9" fillId="0" borderId="10" xfId="0" applyFont="1" applyBorder="1"/>
    <xf numFmtId="2" fontId="7" fillId="0" borderId="8" xfId="0" applyNumberFormat="1" applyFont="1" applyBorder="1"/>
    <xf numFmtId="164" fontId="5" fillId="0" borderId="6" xfId="1" applyFont="1" applyBorder="1"/>
    <xf numFmtId="0" fontId="1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8" xfId="0" applyFont="1" applyBorder="1" applyAlignment="1">
      <alignment horizontal="center" vertical="top"/>
    </xf>
    <xf numFmtId="0" fontId="10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L71"/>
  <sheetViews>
    <sheetView tabSelected="1" topLeftCell="D5" zoomScaleNormal="100" workbookViewId="0">
      <selection activeCell="I72" sqref="I72"/>
    </sheetView>
  </sheetViews>
  <sheetFormatPr defaultRowHeight="18.75" x14ac:dyDescent="0.3"/>
  <cols>
    <col min="1" max="3" width="0" style="1" hidden="1" customWidth="1"/>
    <col min="4" max="4" width="9.140625" style="1"/>
    <col min="5" max="5" width="15.42578125" style="5" customWidth="1"/>
    <col min="6" max="6" width="28.28515625" style="1" customWidth="1"/>
    <col min="7" max="7" width="20.42578125" style="1" customWidth="1"/>
    <col min="8" max="8" width="19" style="1" customWidth="1"/>
    <col min="9" max="9" width="20.85546875" style="1" bestFit="1" customWidth="1"/>
    <col min="10" max="10" width="23.42578125" style="1" customWidth="1"/>
    <col min="11" max="11" width="13.5703125" style="1" bestFit="1" customWidth="1"/>
    <col min="12" max="16384" width="9.140625" style="1"/>
  </cols>
  <sheetData>
    <row r="4" spans="5:10" ht="4.5" customHeight="1" x14ac:dyDescent="0.3"/>
    <row r="5" spans="5:10" ht="81.75" customHeight="1" x14ac:dyDescent="0.45">
      <c r="E5" s="39" t="s">
        <v>27</v>
      </c>
      <c r="F5" s="40"/>
      <c r="G5" s="40"/>
      <c r="H5" s="40"/>
      <c r="I5" s="40"/>
      <c r="J5" s="40"/>
    </row>
    <row r="6" spans="5:10" s="4" customFormat="1" ht="21" customHeight="1" x14ac:dyDescent="0.25">
      <c r="E6" s="43" t="s">
        <v>0</v>
      </c>
      <c r="F6" s="42" t="s">
        <v>1</v>
      </c>
      <c r="G6" s="42"/>
      <c r="H6" s="44" t="s">
        <v>5</v>
      </c>
      <c r="I6" s="41" t="s">
        <v>2</v>
      </c>
      <c r="J6" s="41" t="s">
        <v>3</v>
      </c>
    </row>
    <row r="7" spans="5:10" x14ac:dyDescent="0.3">
      <c r="E7" s="43"/>
      <c r="F7" s="42"/>
      <c r="G7" s="42"/>
      <c r="H7" s="44"/>
      <c r="I7" s="41"/>
      <c r="J7" s="41"/>
    </row>
    <row r="8" spans="5:10" x14ac:dyDescent="0.3">
      <c r="E8" s="36" t="s">
        <v>13</v>
      </c>
      <c r="F8" s="6" t="s">
        <v>4</v>
      </c>
      <c r="G8" s="9"/>
      <c r="H8" s="16" t="s">
        <v>6</v>
      </c>
      <c r="I8" s="14">
        <v>132300</v>
      </c>
      <c r="J8" s="13"/>
    </row>
    <row r="9" spans="5:10" x14ac:dyDescent="0.3">
      <c r="E9" s="36"/>
      <c r="F9" s="7" t="s">
        <v>7</v>
      </c>
      <c r="G9" s="10">
        <v>126000</v>
      </c>
      <c r="I9" s="2"/>
      <c r="J9" s="18"/>
    </row>
    <row r="10" spans="5:10" x14ac:dyDescent="0.3">
      <c r="E10" s="36"/>
      <c r="F10" s="7" t="s">
        <v>11</v>
      </c>
      <c r="G10" s="10">
        <v>3150</v>
      </c>
      <c r="I10" s="2"/>
      <c r="J10" s="18"/>
    </row>
    <row r="11" spans="5:10" x14ac:dyDescent="0.3">
      <c r="E11" s="36"/>
      <c r="F11" s="7" t="s">
        <v>12</v>
      </c>
      <c r="G11" s="10">
        <v>3150</v>
      </c>
      <c r="I11" s="2"/>
      <c r="J11" s="18"/>
    </row>
    <row r="12" spans="5:10" ht="21" x14ac:dyDescent="0.35">
      <c r="E12" s="36"/>
      <c r="F12" s="8" t="s">
        <v>8</v>
      </c>
      <c r="G12" s="11">
        <v>0</v>
      </c>
      <c r="I12" s="2"/>
      <c r="J12" s="18"/>
    </row>
    <row r="13" spans="5:10" x14ac:dyDescent="0.3">
      <c r="E13" s="19" t="s">
        <v>17</v>
      </c>
      <c r="F13" s="37" t="s">
        <v>9</v>
      </c>
      <c r="G13" s="38"/>
      <c r="H13" s="21" t="s">
        <v>10</v>
      </c>
      <c r="I13" s="13"/>
      <c r="J13" s="14">
        <v>132300</v>
      </c>
    </row>
    <row r="14" spans="5:10" x14ac:dyDescent="0.3">
      <c r="E14" s="36" t="s">
        <v>18</v>
      </c>
      <c r="F14" s="6" t="s">
        <v>4</v>
      </c>
      <c r="G14" s="9"/>
      <c r="H14" s="16" t="s">
        <v>6</v>
      </c>
      <c r="I14" s="14">
        <v>141750</v>
      </c>
      <c r="J14" s="18"/>
    </row>
    <row r="15" spans="5:10" x14ac:dyDescent="0.3">
      <c r="E15" s="36"/>
      <c r="F15" s="7" t="s">
        <v>7</v>
      </c>
      <c r="G15" s="10">
        <v>135000</v>
      </c>
      <c r="H15" s="3"/>
      <c r="J15" s="18"/>
    </row>
    <row r="16" spans="5:10" x14ac:dyDescent="0.3">
      <c r="E16" s="36"/>
      <c r="F16" s="7" t="s">
        <v>11</v>
      </c>
      <c r="G16" s="10">
        <v>3375</v>
      </c>
      <c r="H16" s="3"/>
      <c r="J16" s="18"/>
    </row>
    <row r="17" spans="5:11" x14ac:dyDescent="0.3">
      <c r="E17" s="36"/>
      <c r="F17" s="7" t="s">
        <v>12</v>
      </c>
      <c r="G17" s="10">
        <v>3375</v>
      </c>
      <c r="H17" s="3"/>
      <c r="J17" s="18"/>
    </row>
    <row r="18" spans="5:11" ht="21" x14ac:dyDescent="0.35">
      <c r="E18" s="36"/>
      <c r="F18" s="7" t="s">
        <v>8</v>
      </c>
      <c r="G18" s="15">
        <v>0</v>
      </c>
      <c r="H18" s="3"/>
      <c r="J18" s="18"/>
    </row>
    <row r="19" spans="5:11" ht="26.25" x14ac:dyDescent="0.4">
      <c r="E19" s="19" t="s">
        <v>18</v>
      </c>
      <c r="F19" s="37" t="s">
        <v>9</v>
      </c>
      <c r="G19" s="38"/>
      <c r="H19" s="21" t="s">
        <v>10</v>
      </c>
      <c r="I19" s="13"/>
      <c r="J19" s="14">
        <v>132300</v>
      </c>
      <c r="K19" s="20">
        <v>9450</v>
      </c>
    </row>
    <row r="20" spans="5:11" x14ac:dyDescent="0.3">
      <c r="E20" s="36" t="s">
        <v>19</v>
      </c>
      <c r="F20" s="6" t="s">
        <v>4</v>
      </c>
      <c r="G20" s="17"/>
      <c r="H20" s="16" t="s">
        <v>6</v>
      </c>
      <c r="I20" s="14">
        <v>94500</v>
      </c>
      <c r="J20" s="17"/>
    </row>
    <row r="21" spans="5:11" x14ac:dyDescent="0.3">
      <c r="E21" s="36"/>
      <c r="F21" s="7" t="s">
        <v>7</v>
      </c>
      <c r="G21" s="10">
        <v>90000</v>
      </c>
      <c r="I21" s="2"/>
      <c r="J21" s="17"/>
    </row>
    <row r="22" spans="5:11" x14ac:dyDescent="0.3">
      <c r="E22" s="36"/>
      <c r="F22" s="7" t="s">
        <v>11</v>
      </c>
      <c r="G22" s="10">
        <v>2250</v>
      </c>
      <c r="J22" s="17"/>
    </row>
    <row r="23" spans="5:11" x14ac:dyDescent="0.3">
      <c r="E23" s="36"/>
      <c r="F23" s="7" t="s">
        <v>12</v>
      </c>
      <c r="G23" s="10">
        <v>2250</v>
      </c>
      <c r="J23" s="17"/>
    </row>
    <row r="24" spans="5:11" x14ac:dyDescent="0.3">
      <c r="E24" s="36"/>
      <c r="F24" s="7" t="s">
        <v>8</v>
      </c>
      <c r="G24" s="10">
        <v>0</v>
      </c>
      <c r="J24" s="17"/>
    </row>
    <row r="25" spans="5:11" x14ac:dyDescent="0.3">
      <c r="E25" s="19" t="s">
        <v>20</v>
      </c>
      <c r="F25" s="37" t="s">
        <v>9</v>
      </c>
      <c r="G25" s="38"/>
      <c r="H25" s="21" t="s">
        <v>10</v>
      </c>
      <c r="I25" s="13"/>
      <c r="J25" s="14">
        <v>103950</v>
      </c>
      <c r="K25" s="1">
        <v>0</v>
      </c>
    </row>
    <row r="26" spans="5:11" ht="21.75" customHeight="1" x14ac:dyDescent="0.3">
      <c r="E26" s="19" t="s">
        <v>21</v>
      </c>
      <c r="F26" s="6" t="s">
        <v>4</v>
      </c>
      <c r="G26" s="12"/>
      <c r="H26" s="16" t="s">
        <v>6</v>
      </c>
      <c r="I26" s="14">
        <v>84105</v>
      </c>
      <c r="J26" s="17"/>
    </row>
    <row r="27" spans="5:11" x14ac:dyDescent="0.3">
      <c r="E27" s="36"/>
      <c r="F27" s="7" t="s">
        <v>7</v>
      </c>
      <c r="G27" s="22">
        <v>80100</v>
      </c>
      <c r="I27" s="2"/>
      <c r="J27" s="17"/>
    </row>
    <row r="28" spans="5:11" x14ac:dyDescent="0.3">
      <c r="E28" s="36"/>
      <c r="F28" s="7" t="s">
        <v>11</v>
      </c>
      <c r="G28" s="17">
        <v>2002.5</v>
      </c>
      <c r="I28" s="2"/>
      <c r="J28" s="17"/>
    </row>
    <row r="29" spans="5:11" x14ac:dyDescent="0.3">
      <c r="E29" s="36"/>
      <c r="F29" s="7" t="s">
        <v>12</v>
      </c>
      <c r="G29" s="17">
        <v>2002.5</v>
      </c>
      <c r="I29" s="2"/>
      <c r="J29" s="18"/>
    </row>
    <row r="30" spans="5:11" x14ac:dyDescent="0.3">
      <c r="E30" s="36"/>
      <c r="F30" s="7" t="s">
        <v>8</v>
      </c>
      <c r="G30" s="22">
        <v>0</v>
      </c>
      <c r="I30" s="2"/>
      <c r="J30" s="18"/>
    </row>
    <row r="31" spans="5:11" x14ac:dyDescent="0.3">
      <c r="E31" s="19" t="s">
        <v>22</v>
      </c>
      <c r="F31" s="37" t="s">
        <v>9</v>
      </c>
      <c r="G31" s="38"/>
      <c r="H31" s="21" t="s">
        <v>10</v>
      </c>
      <c r="I31" s="13"/>
      <c r="J31" s="14">
        <v>84105</v>
      </c>
    </row>
    <row r="32" spans="5:11" x14ac:dyDescent="0.3">
      <c r="E32" s="36" t="s">
        <v>14</v>
      </c>
      <c r="F32" s="6" t="s">
        <v>4</v>
      </c>
      <c r="G32" s="18"/>
      <c r="H32" s="16" t="s">
        <v>6</v>
      </c>
      <c r="I32" s="14">
        <v>20790</v>
      </c>
      <c r="J32" s="18"/>
    </row>
    <row r="33" spans="5:11" x14ac:dyDescent="0.3">
      <c r="E33" s="36"/>
      <c r="F33" s="7" t="s">
        <v>7</v>
      </c>
      <c r="G33" s="17">
        <v>19800</v>
      </c>
      <c r="I33" s="2"/>
      <c r="J33" s="18"/>
    </row>
    <row r="34" spans="5:11" x14ac:dyDescent="0.3">
      <c r="E34" s="36"/>
      <c r="F34" s="7" t="s">
        <v>11</v>
      </c>
      <c r="G34" s="17">
        <v>495</v>
      </c>
      <c r="I34" s="2"/>
      <c r="J34" s="18"/>
    </row>
    <row r="35" spans="5:11" x14ac:dyDescent="0.3">
      <c r="E35" s="36"/>
      <c r="F35" s="7" t="s">
        <v>12</v>
      </c>
      <c r="G35" s="17">
        <v>495</v>
      </c>
      <c r="I35" s="2"/>
      <c r="J35" s="18"/>
    </row>
    <row r="36" spans="5:11" x14ac:dyDescent="0.3">
      <c r="E36" s="36"/>
      <c r="F36" s="7" t="s">
        <v>8</v>
      </c>
      <c r="G36" s="17">
        <v>0</v>
      </c>
      <c r="I36" s="2"/>
      <c r="J36" s="18"/>
    </row>
    <row r="37" spans="5:11" x14ac:dyDescent="0.3">
      <c r="E37" s="19" t="s">
        <v>26</v>
      </c>
      <c r="F37" s="37" t="s">
        <v>9</v>
      </c>
      <c r="G37" s="38"/>
      <c r="H37" s="21" t="s">
        <v>10</v>
      </c>
      <c r="I37" s="13"/>
      <c r="J37" s="14">
        <v>20790</v>
      </c>
    </row>
    <row r="38" spans="5:11" x14ac:dyDescent="0.3">
      <c r="E38" s="36" t="s">
        <v>15</v>
      </c>
      <c r="F38" s="6" t="s">
        <v>4</v>
      </c>
      <c r="G38" s="18"/>
      <c r="H38" s="16" t="s">
        <v>6</v>
      </c>
      <c r="I38" s="14">
        <v>151263</v>
      </c>
      <c r="J38" s="18"/>
    </row>
    <row r="39" spans="5:11" x14ac:dyDescent="0.3">
      <c r="E39" s="36"/>
      <c r="F39" s="7" t="s">
        <v>7</v>
      </c>
      <c r="G39" s="17">
        <v>144060</v>
      </c>
      <c r="I39" s="2"/>
      <c r="J39" s="18"/>
    </row>
    <row r="40" spans="5:11" x14ac:dyDescent="0.3">
      <c r="E40" s="36"/>
      <c r="F40" s="7" t="s">
        <v>11</v>
      </c>
      <c r="G40" s="17">
        <v>3601.5</v>
      </c>
      <c r="I40" s="2"/>
      <c r="J40" s="18"/>
    </row>
    <row r="41" spans="5:11" x14ac:dyDescent="0.3">
      <c r="E41" s="36"/>
      <c r="F41" s="7" t="s">
        <v>12</v>
      </c>
      <c r="G41" s="17">
        <v>3601.5</v>
      </c>
      <c r="I41" s="2"/>
      <c r="J41" s="18"/>
    </row>
    <row r="42" spans="5:11" x14ac:dyDescent="0.3">
      <c r="E42" s="36"/>
      <c r="F42" s="7" t="s">
        <v>8</v>
      </c>
      <c r="G42" s="17">
        <v>0</v>
      </c>
      <c r="I42" s="2"/>
      <c r="J42" s="18"/>
    </row>
    <row r="43" spans="5:11" x14ac:dyDescent="0.3">
      <c r="E43" s="19" t="s">
        <v>23</v>
      </c>
      <c r="F43" s="37" t="s">
        <v>9</v>
      </c>
      <c r="G43" s="38"/>
      <c r="H43" s="21" t="s">
        <v>10</v>
      </c>
      <c r="I43" s="13"/>
      <c r="J43" s="14">
        <v>151263</v>
      </c>
    </row>
    <row r="44" spans="5:11" x14ac:dyDescent="0.3">
      <c r="E44" s="19" t="s">
        <v>25</v>
      </c>
      <c r="F44" s="37" t="s">
        <v>9</v>
      </c>
      <c r="G44" s="38"/>
      <c r="H44" s="21" t="s">
        <v>10</v>
      </c>
      <c r="I44" s="13"/>
      <c r="J44" s="14">
        <v>200000</v>
      </c>
    </row>
    <row r="45" spans="5:11" x14ac:dyDescent="0.3">
      <c r="E45" s="36" t="s">
        <v>24</v>
      </c>
      <c r="F45" s="6" t="s">
        <v>4</v>
      </c>
      <c r="G45" s="18"/>
      <c r="H45" s="16" t="s">
        <v>6</v>
      </c>
      <c r="I45" s="14">
        <v>162698</v>
      </c>
      <c r="J45" s="17"/>
      <c r="K45" s="1">
        <v>37302</v>
      </c>
    </row>
    <row r="46" spans="5:11" x14ac:dyDescent="0.3">
      <c r="E46" s="36"/>
      <c r="F46" s="7" t="s">
        <v>7</v>
      </c>
      <c r="G46" s="17">
        <v>154950</v>
      </c>
      <c r="J46" s="17"/>
    </row>
    <row r="47" spans="5:11" x14ac:dyDescent="0.3">
      <c r="E47" s="36"/>
      <c r="F47" s="7" t="s">
        <v>11</v>
      </c>
      <c r="G47" s="17">
        <v>3873.75</v>
      </c>
      <c r="J47" s="18"/>
    </row>
    <row r="48" spans="5:11" x14ac:dyDescent="0.3">
      <c r="E48" s="36"/>
      <c r="F48" s="7" t="s">
        <v>12</v>
      </c>
      <c r="G48" s="17">
        <v>3873.75</v>
      </c>
      <c r="J48" s="18"/>
    </row>
    <row r="49" spans="5:12" x14ac:dyDescent="0.3">
      <c r="E49" s="36"/>
      <c r="F49" s="8" t="s">
        <v>8</v>
      </c>
      <c r="G49" s="23">
        <v>0.5</v>
      </c>
      <c r="J49" s="18"/>
    </row>
    <row r="50" spans="5:12" x14ac:dyDescent="0.3">
      <c r="E50" s="36" t="s">
        <v>28</v>
      </c>
      <c r="F50" s="26" t="s">
        <v>4</v>
      </c>
      <c r="G50" s="9"/>
      <c r="H50" s="16" t="s">
        <v>6</v>
      </c>
      <c r="I50" s="14">
        <v>520580</v>
      </c>
      <c r="J50" s="18"/>
    </row>
    <row r="51" spans="5:12" x14ac:dyDescent="0.3">
      <c r="E51" s="36"/>
      <c r="F51" s="7" t="s">
        <v>7</v>
      </c>
      <c r="G51" s="17">
        <v>495790</v>
      </c>
      <c r="J51" s="18"/>
    </row>
    <row r="52" spans="5:12" x14ac:dyDescent="0.3">
      <c r="E52" s="36"/>
      <c r="F52" s="7" t="s">
        <v>11</v>
      </c>
      <c r="G52" s="18">
        <v>12394.75</v>
      </c>
      <c r="J52" s="18"/>
    </row>
    <row r="53" spans="5:12" x14ac:dyDescent="0.3">
      <c r="E53" s="36"/>
      <c r="F53" s="7" t="s">
        <v>12</v>
      </c>
      <c r="G53" s="18">
        <v>12394.75</v>
      </c>
      <c r="J53" s="18"/>
    </row>
    <row r="54" spans="5:12" x14ac:dyDescent="0.3">
      <c r="E54" s="36"/>
      <c r="F54" s="8" t="s">
        <v>8</v>
      </c>
      <c r="G54" s="27">
        <v>0</v>
      </c>
      <c r="J54" s="18"/>
    </row>
    <row r="55" spans="5:12" x14ac:dyDescent="0.3">
      <c r="E55" s="19" t="s">
        <v>30</v>
      </c>
      <c r="F55" s="37" t="s">
        <v>9</v>
      </c>
      <c r="G55" s="38"/>
      <c r="H55" s="21" t="s">
        <v>10</v>
      </c>
      <c r="I55" s="13"/>
      <c r="J55" s="14">
        <v>400000</v>
      </c>
      <c r="K55" s="1">
        <v>83277</v>
      </c>
    </row>
    <row r="56" spans="5:12" x14ac:dyDescent="0.3">
      <c r="E56" s="30" t="s">
        <v>29</v>
      </c>
      <c r="F56" s="26" t="s">
        <v>4</v>
      </c>
      <c r="G56" s="9"/>
      <c r="H56" s="28"/>
      <c r="J56" s="17"/>
    </row>
    <row r="57" spans="5:12" x14ac:dyDescent="0.3">
      <c r="E57" s="30"/>
      <c r="F57" s="7" t="s">
        <v>7</v>
      </c>
      <c r="G57" s="17">
        <v>228620</v>
      </c>
      <c r="H57" s="16" t="s">
        <v>6</v>
      </c>
      <c r="I57" s="14">
        <v>240051</v>
      </c>
      <c r="J57" s="17"/>
    </row>
    <row r="58" spans="5:12" x14ac:dyDescent="0.3">
      <c r="E58" s="30"/>
      <c r="F58" s="7" t="s">
        <v>11</v>
      </c>
      <c r="G58" s="18">
        <v>5715.5</v>
      </c>
      <c r="H58" s="28"/>
      <c r="J58" s="17"/>
    </row>
    <row r="59" spans="5:12" x14ac:dyDescent="0.3">
      <c r="E59" s="30"/>
      <c r="F59" s="7" t="s">
        <v>12</v>
      </c>
      <c r="G59" s="18">
        <v>5715.5</v>
      </c>
      <c r="H59" s="28"/>
      <c r="J59" s="17"/>
    </row>
    <row r="60" spans="5:12" x14ac:dyDescent="0.3">
      <c r="E60" s="30"/>
      <c r="F60" s="8" t="s">
        <v>8</v>
      </c>
      <c r="G60" s="27">
        <v>0</v>
      </c>
      <c r="H60" s="28"/>
      <c r="J60" s="17"/>
    </row>
    <row r="61" spans="5:12" x14ac:dyDescent="0.3">
      <c r="E61" s="19" t="s">
        <v>31</v>
      </c>
      <c r="F61" s="37" t="s">
        <v>9</v>
      </c>
      <c r="G61" s="38"/>
      <c r="H61" s="21" t="s">
        <v>10</v>
      </c>
      <c r="I61" s="13"/>
      <c r="J61" s="14">
        <v>200000</v>
      </c>
    </row>
    <row r="62" spans="5:12" x14ac:dyDescent="0.3">
      <c r="E62" s="30" t="s">
        <v>32</v>
      </c>
      <c r="F62" s="37" t="s">
        <v>9</v>
      </c>
      <c r="G62" s="38"/>
      <c r="H62" s="21" t="s">
        <v>10</v>
      </c>
      <c r="J62" s="17">
        <v>75000</v>
      </c>
    </row>
    <row r="63" spans="5:12" x14ac:dyDescent="0.3">
      <c r="E63" s="30" t="s">
        <v>33</v>
      </c>
      <c r="F63" s="37" t="s">
        <v>9</v>
      </c>
      <c r="G63" s="38"/>
      <c r="H63" s="21" t="s">
        <v>10</v>
      </c>
      <c r="J63" s="17">
        <v>35000</v>
      </c>
    </row>
    <row r="64" spans="5:12" x14ac:dyDescent="0.3">
      <c r="E64" s="30" t="s">
        <v>33</v>
      </c>
      <c r="F64" s="37" t="s">
        <v>9</v>
      </c>
      <c r="G64" s="38"/>
      <c r="H64" s="21" t="s">
        <v>10</v>
      </c>
      <c r="J64" s="17">
        <v>13000</v>
      </c>
      <c r="L64" s="2"/>
    </row>
    <row r="65" spans="5:10" x14ac:dyDescent="0.3">
      <c r="E65" s="30"/>
      <c r="F65" s="24"/>
      <c r="G65" s="25"/>
      <c r="H65" s="21"/>
      <c r="J65" s="17"/>
    </row>
    <row r="66" spans="5:10" x14ac:dyDescent="0.3">
      <c r="E66" s="30"/>
      <c r="F66" s="37"/>
      <c r="G66" s="38"/>
      <c r="H66" s="21"/>
      <c r="J66" s="17"/>
    </row>
    <row r="67" spans="5:10" ht="34.5" customHeight="1" x14ac:dyDescent="0.5">
      <c r="E67" s="30"/>
      <c r="F67" s="45" t="s">
        <v>16</v>
      </c>
      <c r="G67" s="45"/>
      <c r="H67" s="45"/>
      <c r="I67" s="31"/>
      <c r="J67" s="35">
        <v>123329</v>
      </c>
    </row>
    <row r="68" spans="5:10" s="20" customFormat="1" ht="26.25" x14ac:dyDescent="0.4">
      <c r="E68" s="32"/>
      <c r="F68" s="33"/>
      <c r="G68" s="33"/>
      <c r="H68" s="33"/>
      <c r="I68" s="29">
        <f>SUM(I8:I67)</f>
        <v>1548037</v>
      </c>
      <c r="J68" s="34">
        <f>J67-J62-J63-J64</f>
        <v>329</v>
      </c>
    </row>
    <row r="69" spans="5:10" x14ac:dyDescent="0.3">
      <c r="J69" s="2"/>
    </row>
    <row r="70" spans="5:10" x14ac:dyDescent="0.3">
      <c r="I70" s="2"/>
    </row>
    <row r="71" spans="5:10" x14ac:dyDescent="0.3">
      <c r="I71" s="2"/>
    </row>
  </sheetData>
  <mergeCells count="28">
    <mergeCell ref="I6:I7"/>
    <mergeCell ref="F19:G19"/>
    <mergeCell ref="F67:H67"/>
    <mergeCell ref="F25:G25"/>
    <mergeCell ref="F31:G31"/>
    <mergeCell ref="F37:G37"/>
    <mergeCell ref="F43:G43"/>
    <mergeCell ref="F44:G44"/>
    <mergeCell ref="F62:G62"/>
    <mergeCell ref="F66:G66"/>
    <mergeCell ref="F63:G63"/>
    <mergeCell ref="F64:G64"/>
    <mergeCell ref="E50:E54"/>
    <mergeCell ref="F55:G55"/>
    <mergeCell ref="F61:G61"/>
    <mergeCell ref="E5:J5"/>
    <mergeCell ref="E45:E49"/>
    <mergeCell ref="E14:E18"/>
    <mergeCell ref="E20:E24"/>
    <mergeCell ref="E27:E30"/>
    <mergeCell ref="E32:E36"/>
    <mergeCell ref="E38:E42"/>
    <mergeCell ref="J6:J7"/>
    <mergeCell ref="E8:E12"/>
    <mergeCell ref="F13:G13"/>
    <mergeCell ref="F6:G7"/>
    <mergeCell ref="E6:E7"/>
    <mergeCell ref="H6:H7"/>
  </mergeCells>
  <pageMargins left="0.22" right="0.32" top="0.21" bottom="0.27" header="0.17" footer="0.18"/>
  <pageSetup scale="7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krushnkant Dhawade</cp:lastModifiedBy>
  <cp:lastPrinted>2024-01-08T08:08:56Z</cp:lastPrinted>
  <dcterms:created xsi:type="dcterms:W3CDTF">2023-09-29T09:59:58Z</dcterms:created>
  <dcterms:modified xsi:type="dcterms:W3CDTF">2026-08-29T07:32:52Z</dcterms:modified>
</cp:coreProperties>
</file>