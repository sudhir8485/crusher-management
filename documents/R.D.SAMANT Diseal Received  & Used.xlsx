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.D.Samant RATNYAGIRI SITE 2025.2026\"/>
    </mc:Choice>
  </mc:AlternateContent>
  <xr:revisionPtr revIDLastSave="0" documentId="13_ncr:1_{BFC49154-D92B-4D45-9FBC-EA97E180DECF}" xr6:coauthVersionLast="47" xr6:coauthVersionMax="47" xr10:uidLastSave="{00000000-0000-0000-0000-000000000000}"/>
  <bookViews>
    <workbookView xWindow="-120" yWindow="-120" windowWidth="29040" windowHeight="15720" firstSheet="14" activeTab="19" xr2:uid="{00000000-000D-0000-FFFF-FFFF00000000}"/>
  </bookViews>
  <sheets>
    <sheet name="Desel Receivd Octo &amp; Nov.2025" sheetId="1" r:id="rId1"/>
    <sheet name="Oct &amp; Nov.2025...2" sheetId="2" r:id="rId2"/>
    <sheet name="Desel Received Dec.2025.1" sheetId="3" r:id="rId3"/>
    <sheet name="December 2025..2" sheetId="4" r:id="rId4"/>
    <sheet name="Desel Received Janeary 1.2026" sheetId="5" r:id="rId5"/>
    <sheet name="janeary 2026...2" sheetId="6" r:id="rId6"/>
    <sheet name="Diesel Received February 1 2026" sheetId="7" r:id="rId7"/>
    <sheet name="February 2.2026" sheetId="8" r:id="rId8"/>
    <sheet name="Diseal Received Mar 2026...1" sheetId="10" r:id="rId9"/>
    <sheet name="March .2026..2" sheetId="11" r:id="rId10"/>
    <sheet name="Diseal Received April 2026...1" sheetId="13" r:id="rId11"/>
    <sheet name="April ...2026 2" sheetId="14" r:id="rId12"/>
    <sheet name="Diseal Received May 2026...1" sheetId="15" r:id="rId13"/>
    <sheet name="May 2026...2" sheetId="16" r:id="rId14"/>
    <sheet name="Diseal Received June 2026...1" sheetId="18" r:id="rId15"/>
    <sheet name="June 2026....2" sheetId="19" r:id="rId16"/>
    <sheet name="Diseal Received Jule 2026..1" sheetId="20" r:id="rId17"/>
    <sheet name="Jule 2026..2" sheetId="21" r:id="rId18"/>
    <sheet name="Diseal Received Aug 2026..1" sheetId="22" r:id="rId19"/>
    <sheet name="Augast 2026.2" sheetId="23" r:id="rId20"/>
    <sheet name="16.10.2025 To 31.08. .2026" sheetId="9" r:id="rId21"/>
  </sheets>
  <definedNames>
    <definedName name="_xlnm._FilterDatabase" localSheetId="7" hidden="1">'February 2.2026'!$D$5:$D$145</definedName>
    <definedName name="_xlnm._FilterDatabase" localSheetId="5" hidden="1">'janeary 2026...2'!$D$5:$D$116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48" i="5" l="1"/>
  <c r="F6" i="20"/>
  <c r="F53" i="9"/>
  <c r="F54" i="9"/>
  <c r="F55" i="9"/>
  <c r="F56" i="9"/>
  <c r="F57" i="9"/>
  <c r="F58" i="9"/>
  <c r="F59" i="9"/>
  <c r="F52" i="9"/>
  <c r="F48" i="9"/>
  <c r="F60" i="9"/>
  <c r="F7" i="9"/>
  <c r="F8" i="9"/>
  <c r="F9" i="9"/>
  <c r="F10" i="9"/>
  <c r="F11" i="9"/>
  <c r="F12" i="9"/>
  <c r="F13" i="9"/>
  <c r="F14" i="9"/>
  <c r="F15" i="9"/>
  <c r="F16" i="9"/>
  <c r="F17" i="9"/>
  <c r="F18" i="9"/>
  <c r="F19" i="9"/>
  <c r="F20" i="9"/>
  <c r="F21" i="9"/>
  <c r="F22" i="9"/>
  <c r="F23" i="9"/>
  <c r="F24" i="9"/>
  <c r="F25" i="9"/>
  <c r="F26" i="9"/>
  <c r="F27" i="9"/>
  <c r="F28" i="9"/>
  <c r="F29" i="9"/>
  <c r="F30" i="9"/>
  <c r="F31" i="9"/>
  <c r="F32" i="9"/>
  <c r="F33" i="9"/>
  <c r="F34" i="9"/>
  <c r="F35" i="9"/>
  <c r="F36" i="9"/>
  <c r="F37" i="9"/>
  <c r="F38" i="9"/>
  <c r="F39" i="9"/>
  <c r="F40" i="9"/>
  <c r="F41" i="9"/>
  <c r="F42" i="9"/>
  <c r="F43" i="9"/>
  <c r="F44" i="9"/>
  <c r="F45" i="9"/>
  <c r="F46" i="9"/>
  <c r="F47" i="9"/>
  <c r="F6" i="18"/>
  <c r="F7" i="18"/>
  <c r="F8" i="18"/>
  <c r="F9" i="18"/>
  <c r="F10" i="18"/>
  <c r="F11" i="18"/>
  <c r="F5" i="18"/>
  <c r="F13" i="18"/>
  <c r="F14" i="15"/>
  <c r="F12" i="15"/>
  <c r="F11" i="15"/>
  <c r="F10" i="15"/>
  <c r="F9" i="15"/>
  <c r="F8" i="15"/>
  <c r="F7" i="15"/>
  <c r="F6" i="15"/>
  <c r="F13" i="10"/>
  <c r="F8" i="10"/>
  <c r="F9" i="10"/>
  <c r="F10" i="10"/>
  <c r="F11" i="10"/>
  <c r="F12" i="10"/>
  <c r="F7" i="10"/>
  <c r="F12" i="7"/>
  <c r="F11" i="1"/>
  <c r="F7" i="1"/>
  <c r="F8" i="1"/>
  <c r="F9" i="1"/>
  <c r="F10" i="1"/>
  <c r="F6" i="1"/>
  <c r="F13" i="3"/>
  <c r="F7" i="3"/>
  <c r="F8" i="3"/>
  <c r="F9" i="3"/>
  <c r="F10" i="3"/>
  <c r="F11" i="3"/>
  <c r="F6" i="3"/>
  <c r="F43" i="5"/>
  <c r="F44" i="5"/>
  <c r="F45" i="5"/>
  <c r="F46" i="5"/>
  <c r="F42" i="5"/>
  <c r="F7" i="7"/>
  <c r="F8" i="7"/>
  <c r="F9" i="7"/>
  <c r="F10" i="7"/>
  <c r="F6" i="7"/>
  <c r="F6" i="9"/>
</calcChain>
</file>

<file path=xl/sharedStrings.xml><?xml version="1.0" encoding="utf-8"?>
<sst xmlns="http://schemas.openxmlformats.org/spreadsheetml/2006/main" count="1549" uniqueCount="368">
  <si>
    <t>d</t>
  </si>
  <si>
    <t xml:space="preserve"> Diesel Received Details in  16 Actomber 2025 TO  
30 November 2025 from R D Samanat</t>
  </si>
  <si>
    <t>Sr.No.</t>
  </si>
  <si>
    <t>Date</t>
  </si>
  <si>
    <t>Ltr</t>
  </si>
  <si>
    <t>Rate</t>
  </si>
  <si>
    <t>Amount</t>
  </si>
  <si>
    <t>16.10.2025</t>
  </si>
  <si>
    <t>29.10.2025</t>
  </si>
  <si>
    <t>04.11.2025</t>
  </si>
  <si>
    <t>17.11.2025</t>
  </si>
  <si>
    <t>24.11.2025</t>
  </si>
  <si>
    <t>Total Diesel Ltr R D samant</t>
  </si>
  <si>
    <t>Total  Diesel Amount</t>
  </si>
  <si>
    <t xml:space="preserve"> Diesel Uses Details in  16 October 2025 TO  
30 November 2025 from </t>
  </si>
  <si>
    <t>idnaaMk</t>
  </si>
  <si>
    <t>gaaDI naM.</t>
  </si>
  <si>
    <t>ilaTr</t>
  </si>
  <si>
    <t>ekuNa ilaTr</t>
  </si>
  <si>
    <r>
      <rPr>
        <b/>
        <sz val="28"/>
        <color theme="1"/>
        <rFont val="Calibri"/>
        <family val="2"/>
        <scheme val="minor"/>
      </rPr>
      <t xml:space="preserve">JCB </t>
    </r>
    <r>
      <rPr>
        <b/>
        <sz val="28"/>
        <color theme="1"/>
        <rFont val="Shivaji01"/>
      </rPr>
      <t>205 maiSana</t>
    </r>
  </si>
  <si>
    <r>
      <t>500</t>
    </r>
    <r>
      <rPr>
        <b/>
        <sz val="28"/>
        <color theme="1"/>
        <rFont val="Calibri"/>
        <family val="2"/>
        <scheme val="minor"/>
      </rPr>
      <t xml:space="preserve"> KV</t>
    </r>
  </si>
  <si>
    <t>19.10.2025</t>
  </si>
  <si>
    <r>
      <t xml:space="preserve">inaitna kakDo </t>
    </r>
    <r>
      <rPr>
        <b/>
        <sz val="28"/>
        <color theme="1"/>
        <rFont val="Calibri"/>
        <family val="2"/>
        <scheme val="minor"/>
      </rPr>
      <t>TaTa 210</t>
    </r>
  </si>
  <si>
    <t>23.10.2025</t>
  </si>
  <si>
    <t xml:space="preserve">50 KV </t>
  </si>
  <si>
    <t>24.10.2025</t>
  </si>
  <si>
    <t>ASaaok laolaMD 2301</t>
  </si>
  <si>
    <t>25.10.2025</t>
  </si>
  <si>
    <t>26.10.2025</t>
  </si>
  <si>
    <t>ASaaok laolaMD 2201</t>
  </si>
  <si>
    <t>30.10.2025</t>
  </si>
  <si>
    <t>31.10.2025</t>
  </si>
  <si>
    <t>2.11.2025</t>
  </si>
  <si>
    <t>5.11.2025</t>
  </si>
  <si>
    <t>6.11.2025</t>
  </si>
  <si>
    <t>08.11.2025</t>
  </si>
  <si>
    <t>09.11.2025</t>
  </si>
  <si>
    <t>10.11.2025</t>
  </si>
  <si>
    <t>11.11.2025</t>
  </si>
  <si>
    <t>12.11.2025</t>
  </si>
  <si>
    <t>13.11.2025</t>
  </si>
  <si>
    <t>14.11.2025</t>
  </si>
  <si>
    <t>15.11.2025</t>
  </si>
  <si>
    <t>16.11.2025</t>
  </si>
  <si>
    <t>18.11.2025</t>
  </si>
  <si>
    <t>19.11.2025</t>
  </si>
  <si>
    <t>20.11.2025</t>
  </si>
  <si>
    <t>21.11.2025</t>
  </si>
  <si>
    <t>22.11.2025</t>
  </si>
  <si>
    <t>23.11.2025</t>
  </si>
  <si>
    <t xml:space="preserve">p^nala fITr gaaDIlaa </t>
  </si>
  <si>
    <t>25.11.2025</t>
  </si>
  <si>
    <t>26.11.2025</t>
  </si>
  <si>
    <t>27.11.2025</t>
  </si>
  <si>
    <t xml:space="preserve">500 KV </t>
  </si>
  <si>
    <t>28.11.2025</t>
  </si>
  <si>
    <t>29.11.2025</t>
  </si>
  <si>
    <t>30.11.2025</t>
  </si>
  <si>
    <t>ekuNa Gaotlaolao iDjaola 4800 ila
ekuNa vaaprlao iDjaola 4440 ila
saa[-Tvar iSallak iDjaola 360 ila</t>
  </si>
  <si>
    <t xml:space="preserve">Desel </t>
  </si>
  <si>
    <t xml:space="preserve"> Diesel Received Details in  1 December 2025 TO  
31 December 2025 from R D Samanat</t>
  </si>
  <si>
    <t>02.12.2025</t>
  </si>
  <si>
    <t>3.12.2025</t>
  </si>
  <si>
    <t>4.12.2025</t>
  </si>
  <si>
    <t>05.12.2025</t>
  </si>
  <si>
    <t>20.12.2025</t>
  </si>
  <si>
    <t xml:space="preserve"> Diesel Uses Details in  01 December 2025 TO  
31 December 2025 </t>
  </si>
  <si>
    <t>01.12.2025</t>
  </si>
  <si>
    <t>03.12.2025</t>
  </si>
  <si>
    <t>04.12.2025</t>
  </si>
  <si>
    <r>
      <rPr>
        <b/>
        <sz val="28"/>
        <color theme="1"/>
        <rFont val="Calibri"/>
        <family val="2"/>
        <scheme val="minor"/>
      </rPr>
      <t>TaTa</t>
    </r>
    <r>
      <rPr>
        <b/>
        <sz val="28"/>
        <color theme="1"/>
        <rFont val="Shivaji01"/>
      </rPr>
      <t xml:space="preserve"> 210 maiSana</t>
    </r>
  </si>
  <si>
    <t>sTaosaazI.idlao</t>
  </si>
  <si>
    <t>07.12.2025</t>
  </si>
  <si>
    <r>
      <t>50</t>
    </r>
    <r>
      <rPr>
        <b/>
        <sz val="28"/>
        <color theme="1"/>
        <rFont val="Calibri"/>
        <family val="2"/>
        <scheme val="minor"/>
      </rPr>
      <t xml:space="preserve"> KV</t>
    </r>
  </si>
  <si>
    <t>08.12.2025</t>
  </si>
  <si>
    <t>9.12.2025</t>
  </si>
  <si>
    <t>11.12.2025</t>
  </si>
  <si>
    <r>
      <rPr>
        <b/>
        <sz val="28"/>
        <color theme="1"/>
        <rFont val="Calibri"/>
        <family val="2"/>
        <scheme val="minor"/>
      </rPr>
      <t>RD samanat</t>
    </r>
    <r>
      <rPr>
        <b/>
        <sz val="28"/>
        <color theme="1"/>
        <rFont val="Shivaji01"/>
      </rPr>
      <t xml:space="preserve"> yaaMnaa idlao.</t>
    </r>
  </si>
  <si>
    <t>16.12.2025</t>
  </si>
  <si>
    <t>17.12.2025</t>
  </si>
  <si>
    <t>18.12.2025</t>
  </si>
  <si>
    <t>19.12.2025</t>
  </si>
  <si>
    <t>21.12.2025</t>
  </si>
  <si>
    <t>22.12.2025</t>
  </si>
  <si>
    <t>23.12.2025</t>
  </si>
  <si>
    <t>24.12.2025</t>
  </si>
  <si>
    <t>25.12.2025</t>
  </si>
  <si>
    <t>26.12.2025</t>
  </si>
  <si>
    <t>27.12.2025</t>
  </si>
  <si>
    <t>28.12.2025</t>
  </si>
  <si>
    <t>29.12.2025</t>
  </si>
  <si>
    <t>30.12.2025</t>
  </si>
  <si>
    <t>31.12.2025</t>
  </si>
  <si>
    <t xml:space="preserve"> Diesel Received Details in  1 Janeary 2026 TO  
31 Janeary 2026 from R D Samanat</t>
  </si>
  <si>
    <t xml:space="preserve"> Diesel Uses Details in  01 Janeary 2026 TO  
31 Janeary 2026</t>
  </si>
  <si>
    <t>03.01.2026</t>
  </si>
  <si>
    <t>04.01.2026</t>
  </si>
  <si>
    <t>05.01.2026</t>
  </si>
  <si>
    <t>06.01.2026</t>
  </si>
  <si>
    <t>8.01.2026</t>
  </si>
  <si>
    <r>
      <rPr>
        <b/>
        <sz val="28"/>
        <color theme="1"/>
        <rFont val="Calibri"/>
        <family val="2"/>
        <scheme val="minor"/>
      </rPr>
      <t>TaTa</t>
    </r>
    <r>
      <rPr>
        <b/>
        <sz val="28"/>
        <color theme="1"/>
        <rFont val="Shivaji01"/>
      </rPr>
      <t xml:space="preserve"> 200 raoiht kakDo 
</t>
    </r>
  </si>
  <si>
    <t>8.01.2027</t>
  </si>
  <si>
    <r>
      <rPr>
        <b/>
        <sz val="28"/>
        <color theme="1"/>
        <rFont val="Calibri"/>
        <family val="2"/>
        <scheme val="minor"/>
      </rPr>
      <t>TaTa</t>
    </r>
    <r>
      <rPr>
        <b/>
        <sz val="28"/>
        <color theme="1"/>
        <rFont val="Shivaji01"/>
      </rPr>
      <t xml:space="preserve"> 210 inatIna kakDo</t>
    </r>
  </si>
  <si>
    <t>9.01.2027</t>
  </si>
  <si>
    <t>10.01.2027</t>
  </si>
  <si>
    <t>11.01.2027</t>
  </si>
  <si>
    <r>
      <rPr>
        <b/>
        <sz val="28"/>
        <color theme="1"/>
        <rFont val="Calibri"/>
        <family val="2"/>
        <scheme val="minor"/>
      </rPr>
      <t xml:space="preserve">MH 12 YQ 8117
</t>
    </r>
    <r>
      <rPr>
        <b/>
        <sz val="28"/>
        <color theme="1"/>
        <rFont val="Shivaji01"/>
      </rPr>
      <t xml:space="preserve"> iDJaola T^Mkr</t>
    </r>
  </si>
  <si>
    <t>11.01.2026</t>
  </si>
  <si>
    <t>12.01.2026</t>
  </si>
  <si>
    <t>13.01.2026</t>
  </si>
  <si>
    <r>
      <rPr>
        <b/>
        <sz val="28"/>
        <color theme="1"/>
        <rFont val="Calibri"/>
        <family val="2"/>
        <scheme val="minor"/>
      </rPr>
      <t>JCB 140</t>
    </r>
    <r>
      <rPr>
        <b/>
        <sz val="28"/>
        <color theme="1"/>
        <rFont val="Shivaji01"/>
      </rPr>
      <t xml:space="preserve"> maiSana</t>
    </r>
  </si>
  <si>
    <t>14.01.2026</t>
  </si>
  <si>
    <t>15.01.2026</t>
  </si>
  <si>
    <t>16.01.2026</t>
  </si>
  <si>
    <t>17.01.2026</t>
  </si>
  <si>
    <t>18.01.2026</t>
  </si>
  <si>
    <t>19.01.2026</t>
  </si>
  <si>
    <t>20.01.2026</t>
  </si>
  <si>
    <t>21.01.2026</t>
  </si>
  <si>
    <r>
      <rPr>
        <sz val="26"/>
        <color theme="1"/>
        <rFont val="Calibri"/>
        <family val="2"/>
        <scheme val="minor"/>
      </rPr>
      <t>MH 12 YQ 8117</t>
    </r>
    <r>
      <rPr>
        <sz val="26"/>
        <color theme="1"/>
        <rFont val="Shivaji01"/>
      </rPr>
      <t xml:space="preserve"> iDJaola T^Mkr</t>
    </r>
  </si>
  <si>
    <t>22.01.2026</t>
  </si>
  <si>
    <t>23.01.2026</t>
  </si>
  <si>
    <t>24.01.2026</t>
  </si>
  <si>
    <t>25.01.2026</t>
  </si>
  <si>
    <t>26.01.2026</t>
  </si>
  <si>
    <t>inaitna kakDo yaaMnaa idlao.</t>
  </si>
  <si>
    <t>27.01.2026</t>
  </si>
  <si>
    <t>28.01.2026</t>
  </si>
  <si>
    <t>29.01.2026</t>
  </si>
  <si>
    <t>30.01.2026</t>
  </si>
  <si>
    <t>31.01.2026</t>
  </si>
  <si>
    <t xml:space="preserve"> Diesel Received Details in  1 February 2026 TO  
28 February 2026 from R D Samanat</t>
  </si>
  <si>
    <t>01.02.2026</t>
  </si>
  <si>
    <t xml:space="preserve"> Diesel Uses Details in  1 February 2026 TO  
28 February 2026 </t>
  </si>
  <si>
    <t>02.02.2026</t>
  </si>
  <si>
    <t>03.02.2026</t>
  </si>
  <si>
    <t>04.02.2026</t>
  </si>
  <si>
    <t>05.02.2026</t>
  </si>
  <si>
    <t>06.02.2026</t>
  </si>
  <si>
    <t>DSP 9955</t>
  </si>
  <si>
    <t>07.02.2026</t>
  </si>
  <si>
    <t>08.02.2026</t>
  </si>
  <si>
    <t>TaTa  9955</t>
  </si>
  <si>
    <t>9.02.2026</t>
  </si>
  <si>
    <t xml:space="preserve">RR Aar iD saamaMt yaaMnaa idlao </t>
  </si>
  <si>
    <t>10.02.2026</t>
  </si>
  <si>
    <t>11.02.2026</t>
  </si>
  <si>
    <t>12.02.2026</t>
  </si>
  <si>
    <t>13.02.2026</t>
  </si>
  <si>
    <t>14.02.2026</t>
  </si>
  <si>
    <t>15.02.2026</t>
  </si>
  <si>
    <t>16.02.2026</t>
  </si>
  <si>
    <t>17.02.2026</t>
  </si>
  <si>
    <t>18.02.2026</t>
  </si>
  <si>
    <t>19.02.2026</t>
  </si>
  <si>
    <t>20.02.2026</t>
  </si>
  <si>
    <r>
      <rPr>
        <b/>
        <sz val="28"/>
        <color theme="1"/>
        <rFont val="Calibri"/>
        <family val="2"/>
        <scheme val="minor"/>
      </rPr>
      <t>JCB 205</t>
    </r>
    <r>
      <rPr>
        <b/>
        <sz val="28"/>
        <color theme="1"/>
        <rFont val="Shivaji01"/>
      </rPr>
      <t xml:space="preserve"> maiSana</t>
    </r>
  </si>
  <si>
    <t>Aar iD saamaMtyaaMcyaa 
saagaNyaava$na ivaihrIsaazI idlao</t>
  </si>
  <si>
    <t xml:space="preserve">Total Ltr </t>
  </si>
  <si>
    <t>21.02.2026</t>
  </si>
  <si>
    <t>22.02.2026</t>
  </si>
  <si>
    <t>23.02.2026</t>
  </si>
  <si>
    <t>24.02.2026</t>
  </si>
  <si>
    <t>25.02.2026</t>
  </si>
  <si>
    <t>26.02.2026</t>
  </si>
  <si>
    <r>
      <rPr>
        <b/>
        <sz val="28"/>
        <color theme="1"/>
        <rFont val="Calibri"/>
        <family val="2"/>
        <scheme val="minor"/>
      </rPr>
      <t xml:space="preserve">JCB 140 </t>
    </r>
    <r>
      <rPr>
        <b/>
        <sz val="28"/>
        <color theme="1"/>
        <rFont val="Shivaji01"/>
      </rPr>
      <t>maiSana</t>
    </r>
  </si>
  <si>
    <t>TaTa  9955 iDesapI</t>
  </si>
  <si>
    <t>27.02.2026</t>
  </si>
  <si>
    <t>28.02.2026</t>
  </si>
  <si>
    <t>5199 iD esa pI</t>
  </si>
  <si>
    <t xml:space="preserve"> Diesel Received Details in  1 March 2026 TO  
31 March 2026 from R D Samanat</t>
  </si>
  <si>
    <t xml:space="preserve"> Diesel Uses Details in  1 March 2026 TO  
31 March  2026 </t>
  </si>
  <si>
    <t>1.03.2026</t>
  </si>
  <si>
    <t>ekuNa Gaotlaolao iDjaola  12000 ila
maaiGala iSallak iD 1320 ila
ekuNa iDJaola    13320 ila
ekuNa vaaprlao iDjaola 13312  ila 
saa[-Tvar iSallak iDjaola 8 ila</t>
  </si>
  <si>
    <t>ekuNa Gaotlaolao iDjaola 11600. ila
maaiGala iSallak iD   420.ila
ekuNa iDJaola         12020.ila
ekuNa vaaprlao iDjaola   10700.ila
saa[-Tvar iSallak iDjaol  1320.ila</t>
  </si>
  <si>
    <t>ekuNa Gaotlaolao iDjaola   6523.ila
maaiGala iSallak iD  360.ila
ekuNa iDjaola       6883.ila 
ekuNa vaaprlao iDjaola   6463.ila
saa[-Tvar iSallak iDjaola  420.ila</t>
  </si>
  <si>
    <r>
      <rPr>
        <b/>
        <sz val="26"/>
        <color theme="1"/>
        <rFont val="Calibri"/>
        <family val="2"/>
        <scheme val="minor"/>
      </rPr>
      <t>8117</t>
    </r>
    <r>
      <rPr>
        <b/>
        <sz val="26"/>
        <color theme="1"/>
        <rFont val="Shivaji01"/>
      </rPr>
      <t xml:space="preserve"> iDJaola T^Mkr</t>
    </r>
  </si>
  <si>
    <t>TaTa 5199 iD esa pI</t>
  </si>
  <si>
    <t>TaTa  9955 iD esa pI</t>
  </si>
  <si>
    <t>01.03.2026</t>
  </si>
  <si>
    <t>02.03.2026</t>
  </si>
  <si>
    <t>05.03.2026</t>
  </si>
  <si>
    <t>06.03.2026</t>
  </si>
  <si>
    <t>07.03.2026</t>
  </si>
  <si>
    <t>08.03.2026</t>
  </si>
  <si>
    <t>11.03.2026</t>
  </si>
  <si>
    <t>12.03.2026</t>
  </si>
  <si>
    <t>13.03.2026</t>
  </si>
  <si>
    <t>14.03.2026</t>
  </si>
  <si>
    <t>15.03.2026</t>
  </si>
  <si>
    <t>saahobaaMcyaa gaaDIlaa idlao</t>
  </si>
  <si>
    <t>16.3.2026</t>
  </si>
  <si>
    <t>17.3.2026</t>
  </si>
  <si>
    <t>18.3.2026</t>
  </si>
  <si>
    <t>19.3.2026</t>
  </si>
  <si>
    <t>20.3.2026</t>
  </si>
  <si>
    <t>21.3.2026</t>
  </si>
  <si>
    <t>22.3.2026</t>
  </si>
  <si>
    <r>
      <rPr>
        <b/>
        <sz val="28"/>
        <color theme="1"/>
        <rFont val="Calibri"/>
        <family val="2"/>
        <scheme val="minor"/>
      </rPr>
      <t xml:space="preserve">MH 12 YQ 8117
</t>
    </r>
    <r>
      <rPr>
        <b/>
        <sz val="28"/>
        <color theme="1"/>
        <rFont val="Shivaji01"/>
      </rPr>
      <t xml:space="preserve"> iDJaola T^Mkr</t>
    </r>
    <r>
      <rPr>
        <b/>
        <sz val="28"/>
        <color theme="1"/>
        <rFont val="Shivaji01"/>
        <family val="2"/>
      </rPr>
      <t xml:space="preserve"> TakI sTa^kmaQyao</t>
    </r>
  </si>
  <si>
    <t>21.03.2025</t>
  </si>
  <si>
    <t>23.3.2026</t>
  </si>
  <si>
    <t>24.03.2025</t>
  </si>
  <si>
    <t>24.03.2026</t>
  </si>
  <si>
    <t>25.03.2026</t>
  </si>
  <si>
    <t>26.03.2026</t>
  </si>
  <si>
    <t>27.03.2026</t>
  </si>
  <si>
    <t>Sr.no</t>
  </si>
  <si>
    <t>Month</t>
  </si>
  <si>
    <t>LTR</t>
  </si>
  <si>
    <t>TOTAL</t>
  </si>
  <si>
    <t>28.03.2026</t>
  </si>
  <si>
    <t>29.03.2026</t>
  </si>
  <si>
    <t>30.03.2026</t>
  </si>
  <si>
    <t>31.03.2026</t>
  </si>
  <si>
    <t xml:space="preserve"> Diesel Uses Details in  1 April 2026 TO  
30 April 2026 </t>
  </si>
  <si>
    <t>01.04.2026</t>
  </si>
  <si>
    <t>02.04.2026</t>
  </si>
  <si>
    <t>03.04.2026</t>
  </si>
  <si>
    <t>04.04.2026</t>
  </si>
  <si>
    <t>05.04.2026</t>
  </si>
  <si>
    <t>06.04.2026</t>
  </si>
  <si>
    <t>07.04.2026</t>
  </si>
  <si>
    <t xml:space="preserve"> Diesel Received Details in  1 April 2026 TO  
30 April 2026 from R D Samanat</t>
  </si>
  <si>
    <r>
      <rPr>
        <b/>
        <sz val="28"/>
        <color theme="1"/>
        <rFont val="Calibri"/>
        <family val="2"/>
        <scheme val="minor"/>
      </rPr>
      <t xml:space="preserve">DSP </t>
    </r>
    <r>
      <rPr>
        <b/>
        <sz val="28"/>
        <color theme="1"/>
        <rFont val="Shivaji01"/>
      </rPr>
      <t>nao raoK AaNalao 1000 ila 
ekuNa Gaotlaolao iDjaola  9900 ila
maaiGala iSallak iD 8 ila
ekuNa iDJaola  10908 ila
ekuNa vaaprlao iDjaola 9758  ila 
saa[-Tvar iSallak iDjaola 1150 ila</t>
    </r>
  </si>
  <si>
    <t>08.04.2026</t>
  </si>
  <si>
    <t>09.04.2026</t>
  </si>
  <si>
    <t>10.04.2026</t>
  </si>
  <si>
    <t>11.04.2026</t>
  </si>
  <si>
    <t>12.04.2026</t>
  </si>
  <si>
    <t>13.04.2026</t>
  </si>
  <si>
    <t>14.04.2026</t>
  </si>
  <si>
    <t xml:space="preserve"> </t>
  </si>
  <si>
    <t>MH 12 LT 6091</t>
  </si>
  <si>
    <t>15.04.2026</t>
  </si>
  <si>
    <t>16 .04.2026</t>
  </si>
  <si>
    <t>17.04.2026</t>
  </si>
  <si>
    <t>19.04.2026</t>
  </si>
  <si>
    <t>20.04.2026</t>
  </si>
  <si>
    <t>21.04.2026</t>
  </si>
  <si>
    <t>22.04.2026</t>
  </si>
  <si>
    <t>23.04.2026</t>
  </si>
  <si>
    <t>24.04.2026</t>
  </si>
  <si>
    <t>25.04.2026</t>
  </si>
  <si>
    <t>27.04.2026</t>
  </si>
  <si>
    <t>28.04.2026</t>
  </si>
  <si>
    <t>29.04.2026</t>
  </si>
  <si>
    <t>21.03.2026</t>
  </si>
  <si>
    <r>
      <rPr>
        <b/>
        <sz val="36"/>
        <color theme="1"/>
        <rFont val="Calibri"/>
        <family val="2"/>
        <scheme val="minor"/>
      </rPr>
      <t xml:space="preserve">DSP </t>
    </r>
    <r>
      <rPr>
        <b/>
        <sz val="36"/>
        <color theme="1"/>
        <rFont val="Shivaji01"/>
      </rPr>
      <t>nao raoK AaNalao 8377.39 ila 
maaiGala iSallak iD 1150 ila
iDJaola T^Mkr maQauna Gaotlao 5.20 
ekuNa iDJaola  9532.59 ila
ekuNa vaaprlao iDjaola 9532.59  ila 
saa[-Tvar iSallak iDjaola 0 ila</t>
    </r>
  </si>
  <si>
    <t xml:space="preserve"> Diesel Received Details in  1 May 2026 TO  
31 May  2026 from R D Samanat</t>
  </si>
  <si>
    <t xml:space="preserve"> Diesel Uses Details in  1 May 2026 TO  
31 May 2026 </t>
  </si>
  <si>
    <t>02.05.2026</t>
  </si>
  <si>
    <r>
      <rPr>
        <b/>
        <sz val="26"/>
        <color theme="1"/>
        <rFont val="Calibri"/>
        <family val="2"/>
        <scheme val="minor"/>
      </rPr>
      <t>TaTa</t>
    </r>
    <r>
      <rPr>
        <b/>
        <sz val="26"/>
        <color theme="1"/>
        <rFont val="Shivaji01"/>
      </rPr>
      <t xml:space="preserve"> 200 raoiht kakDo 
</t>
    </r>
  </si>
  <si>
    <r>
      <rPr>
        <b/>
        <sz val="26"/>
        <color theme="1"/>
        <rFont val="Calibri"/>
        <family val="2"/>
        <scheme val="minor"/>
      </rPr>
      <t>TaTa</t>
    </r>
    <r>
      <rPr>
        <b/>
        <sz val="26"/>
        <color theme="1"/>
        <rFont val="Shivaji01"/>
      </rPr>
      <t xml:space="preserve"> 210 inatIna kakDo</t>
    </r>
  </si>
  <si>
    <t>0653 iD esa pI</t>
  </si>
  <si>
    <r>
      <rPr>
        <b/>
        <sz val="24"/>
        <color theme="1"/>
        <rFont val="Calibri"/>
        <family val="2"/>
        <scheme val="minor"/>
      </rPr>
      <t xml:space="preserve">MH 12 YQ 8117
</t>
    </r>
    <r>
      <rPr>
        <b/>
        <sz val="24"/>
        <color theme="1"/>
        <rFont val="Shivaji01"/>
      </rPr>
      <t xml:space="preserve"> iDJaola T^Mkr</t>
    </r>
  </si>
  <si>
    <t>03.05.2026</t>
  </si>
  <si>
    <t>04.05.2026</t>
  </si>
  <si>
    <t>05.05.2026</t>
  </si>
  <si>
    <t>06.05.2026</t>
  </si>
  <si>
    <t>raoiht kakDo yaaMnaa idlao.</t>
  </si>
  <si>
    <t>07.05.2026</t>
  </si>
  <si>
    <t>08.05.2026</t>
  </si>
  <si>
    <t>10.05.2026</t>
  </si>
  <si>
    <t>11.05.2026</t>
  </si>
  <si>
    <t>12.05.2026</t>
  </si>
  <si>
    <t>13.05.2026</t>
  </si>
  <si>
    <t>14.05.2026</t>
  </si>
  <si>
    <t>15.05.2026</t>
  </si>
  <si>
    <t>16.05.2026</t>
  </si>
  <si>
    <t>17.05.2026</t>
  </si>
  <si>
    <t>sTa^kmaQyao zovalao.</t>
  </si>
  <si>
    <t>18.05.2026</t>
  </si>
  <si>
    <t>19.05.2026</t>
  </si>
  <si>
    <t>20.05.2026</t>
  </si>
  <si>
    <t>New Hywa DSP</t>
  </si>
  <si>
    <t>23.05.2026</t>
  </si>
  <si>
    <t>24.05.2026</t>
  </si>
  <si>
    <t>25.05.2026</t>
  </si>
  <si>
    <t>26.05.2026</t>
  </si>
  <si>
    <t>27.05.2026</t>
  </si>
  <si>
    <t>28.05.2026</t>
  </si>
  <si>
    <t>29.05.2026</t>
  </si>
  <si>
    <t>xe</t>
  </si>
  <si>
    <t>30.05.2026</t>
  </si>
  <si>
    <t>31.05.2026</t>
  </si>
  <si>
    <t xml:space="preserve"> Diesel Received Details in  1 June 2026 TO  
30 June  2026 from R D Samanat</t>
  </si>
  <si>
    <t xml:space="preserve"> Diesel Uses Details in  1 June 2026 TO  
30 June 2026 </t>
  </si>
  <si>
    <r>
      <rPr>
        <b/>
        <sz val="28"/>
        <color theme="1"/>
        <rFont val="Calibri"/>
        <family val="2"/>
        <scheme val="minor"/>
      </rPr>
      <t xml:space="preserve">DSP </t>
    </r>
    <r>
      <rPr>
        <b/>
        <sz val="28"/>
        <color theme="1"/>
        <rFont val="Shivaji01"/>
      </rPr>
      <t xml:space="preserve">nao raoK AaNalao 5697.01 ila 
</t>
    </r>
    <r>
      <rPr>
        <b/>
        <sz val="28"/>
        <color theme="1"/>
        <rFont val="Calibri"/>
        <family val="2"/>
        <scheme val="minor"/>
      </rPr>
      <t>R.D</t>
    </r>
    <r>
      <rPr>
        <b/>
        <sz val="28"/>
        <color theme="1"/>
        <rFont val="Shivaji01"/>
      </rPr>
      <t xml:space="preserve"> saaMmat yaaMnaI idlao 8620 ila 
</t>
    </r>
    <r>
      <rPr>
        <b/>
        <sz val="28"/>
        <color theme="1"/>
        <rFont val="Calibri"/>
        <family val="2"/>
        <scheme val="minor"/>
      </rPr>
      <t>R.D</t>
    </r>
    <r>
      <rPr>
        <b/>
        <sz val="28"/>
        <color theme="1"/>
        <rFont val="Shivaji01"/>
      </rPr>
      <t xml:space="preserve"> saaMmat yaaMnaI iDjaola TMkrlaa 25 ila idlao.
iDjaola TakI maQauna Gaotlao 27.46 ila idlao.
maaiGala iSallak iD 0 ila
ekuNa iDJaola 14369.47  ila
ekuNa vaaprlao iDjaola 14190.9  ila 
saa[-Tvar iSallak iDjaola 178.57 ila</t>
    </r>
  </si>
  <si>
    <t>01.06.2026</t>
  </si>
  <si>
    <t>02.06.2026</t>
  </si>
  <si>
    <t>03.06.2026</t>
  </si>
  <si>
    <t>04.06.2026</t>
  </si>
  <si>
    <t>05.06.2026</t>
  </si>
  <si>
    <t>06.06.2026</t>
  </si>
  <si>
    <t>07.06.2026</t>
  </si>
  <si>
    <t>08.06.2026</t>
  </si>
  <si>
    <t>10.06.2026</t>
  </si>
  <si>
    <t>11.06.2026</t>
  </si>
  <si>
    <t>12.06.2026</t>
  </si>
  <si>
    <t>13.06.2026</t>
  </si>
  <si>
    <r>
      <rPr>
        <b/>
        <sz val="28"/>
        <color theme="1"/>
        <rFont val="Calibri"/>
        <family val="2"/>
        <scheme val="minor"/>
      </rPr>
      <t xml:space="preserve">JCB 205 </t>
    </r>
    <r>
      <rPr>
        <b/>
        <sz val="28"/>
        <color theme="1"/>
        <rFont val="Shivaji01"/>
      </rPr>
      <t>maiSana</t>
    </r>
  </si>
  <si>
    <t>14.06.2026</t>
  </si>
  <si>
    <t>15.06.2026</t>
  </si>
  <si>
    <t>16.06.2026</t>
  </si>
  <si>
    <t>17.06.2026</t>
  </si>
  <si>
    <t>18.06.2026</t>
  </si>
  <si>
    <t>19.06.2026</t>
  </si>
  <si>
    <t>20.06.2026</t>
  </si>
  <si>
    <t>21.06.2026</t>
  </si>
  <si>
    <t>22.06.2026</t>
  </si>
  <si>
    <t>23.06.2026</t>
  </si>
  <si>
    <t>25.06.2026</t>
  </si>
  <si>
    <t>24.06.2026</t>
  </si>
  <si>
    <t>26.06.2026</t>
  </si>
  <si>
    <t xml:space="preserve"> inatIna kakDo yaaMcyaa Tolarlaa idlao.</t>
  </si>
  <si>
    <t>27.06.2026</t>
  </si>
  <si>
    <t>28.06.2026</t>
  </si>
  <si>
    <t>raoiht kakDo yaaMcyaa Tolarlaa idlao.</t>
  </si>
  <si>
    <t>29.06.2026</t>
  </si>
  <si>
    <t xml:space="preserve"> Diesel Received Details in  1 Jule 2026 TO  
31 Jule 2026 from R D Samanat</t>
  </si>
  <si>
    <t>01.07.2026</t>
  </si>
  <si>
    <r>
      <rPr>
        <b/>
        <sz val="28"/>
        <color theme="1"/>
        <rFont val="Calibri"/>
        <family val="2"/>
        <scheme val="minor"/>
      </rPr>
      <t>JCB 205</t>
    </r>
    <r>
      <rPr>
        <b/>
        <sz val="28"/>
        <color theme="1"/>
        <rFont val="Shivaji01"/>
      </rPr>
      <t xml:space="preserve"> maiSana</t>
    </r>
    <r>
      <rPr>
        <b/>
        <sz val="28"/>
        <color theme="1"/>
        <rFont val="Shivaji01"/>
        <family val="2"/>
      </rPr>
      <t xml:space="preserve"> naoNyaasaazI 
Aalaolyaa Tolarlaa idlao</t>
    </r>
  </si>
  <si>
    <r>
      <rPr>
        <b/>
        <sz val="28"/>
        <color theme="1"/>
        <rFont val="Calibri"/>
        <family val="2"/>
        <scheme val="minor"/>
      </rPr>
      <t xml:space="preserve">DSP </t>
    </r>
    <r>
      <rPr>
        <b/>
        <sz val="28"/>
        <color theme="1"/>
        <rFont val="Shivaji01"/>
      </rPr>
      <t xml:space="preserve">nao raoK AaNalao 8400.32 ila 
</t>
    </r>
    <r>
      <rPr>
        <b/>
        <sz val="28"/>
        <color theme="1"/>
        <rFont val="Calibri"/>
        <family val="2"/>
        <scheme val="minor"/>
      </rPr>
      <t>R.D</t>
    </r>
    <r>
      <rPr>
        <b/>
        <sz val="28"/>
        <color theme="1"/>
        <rFont val="Shivaji01"/>
      </rPr>
      <t xml:space="preserve"> saaMmat yaaMnaI idlao  7900 ila 
maaiGala iSallak iD 178.57 ila
ekuNa iDJaola 16478.82 ila
ekuNa vaaprlao iDjaola 14928.88  ila 
saa[-Tvar iSallak iDjaola 1550.01 ila</t>
    </r>
  </si>
  <si>
    <t xml:space="preserve"> Diesel Received Details in  16 Octomber 2025 TO  
30 June 2026 from R D Samanat</t>
  </si>
  <si>
    <t>03.07.2026</t>
  </si>
  <si>
    <t>saahobaaMcyaa gaaDIlaa idlao.</t>
  </si>
  <si>
    <t>04.07.2026</t>
  </si>
  <si>
    <t>gaaoivaMdlaa sTaosaazI idlao.</t>
  </si>
  <si>
    <t>06.07.2026</t>
  </si>
  <si>
    <t>k`oSarvar sTa^kmaQyao zovalao.</t>
  </si>
  <si>
    <t>]@kDgaava saa[-Tvar pazvalao.</t>
  </si>
  <si>
    <t>15.07.2026</t>
  </si>
  <si>
    <t>16.07.2026</t>
  </si>
  <si>
    <t>17.07.2026</t>
  </si>
  <si>
    <t>16.10.2025 To 
30.11.2025</t>
  </si>
  <si>
    <t>01.12.2025 To
31.12.2025</t>
  </si>
  <si>
    <t>01.01.2026 To
31.01.2026</t>
  </si>
  <si>
    <t>01.02.2026 To
28.02.2026</t>
  </si>
  <si>
    <t>01.03.2026 To
31.03.2026</t>
  </si>
  <si>
    <t>01.05.2026 To 31.05.2026</t>
  </si>
  <si>
    <t>01.06.2026 To 30.06.2026</t>
  </si>
  <si>
    <t>18.07.2026</t>
  </si>
  <si>
    <t>19.07.2026</t>
  </si>
  <si>
    <t>21.7.2026</t>
  </si>
  <si>
    <t>25.07.2026</t>
  </si>
  <si>
    <t>26.07.2026</t>
  </si>
  <si>
    <t>27.07.2026</t>
  </si>
  <si>
    <t>29.07.2026</t>
  </si>
  <si>
    <r>
      <rPr>
        <b/>
        <sz val="28"/>
        <color theme="1"/>
        <rFont val="Calibri"/>
        <family val="2"/>
        <scheme val="minor"/>
      </rPr>
      <t>R.D</t>
    </r>
    <r>
      <rPr>
        <b/>
        <sz val="28"/>
        <color theme="1"/>
        <rFont val="Shivaji01"/>
      </rPr>
      <t xml:space="preserve"> saaMmat yaaMnaI idlao  1000 ila 
]@kDgaava saa[-Tva$na Aalao 132.03 ila 
maaiGala iSallak iD 1550.01 ila
ekuNa iDJaola 2682.04 ila
ekuNa vaaprlao iDjaola 2491.73  ila 
saa[-Tvar iSallak iDjaola 190.31 ila</t>
    </r>
  </si>
  <si>
    <t>D</t>
  </si>
  <si>
    <t xml:space="preserve"> Diesel Uses Details in  1 Jule 2026 TO  
31 Jule 2026 </t>
  </si>
  <si>
    <t xml:space="preserve"> Diesel Received Details in  1 Augast 2026 TO  
31 Augast 2026 from R D Samanat</t>
  </si>
  <si>
    <t>01.07.2026 To 31.07.2026</t>
  </si>
  <si>
    <t xml:space="preserve"> Diesel Uses Details in  1 Augast  2026 TO  
31 Augast 2026 </t>
  </si>
  <si>
    <t>9.8.2026</t>
  </si>
  <si>
    <t>13.08.2026</t>
  </si>
  <si>
    <t>12.08.2026</t>
  </si>
  <si>
    <t>14.08.2026</t>
  </si>
  <si>
    <t>17.08.2026</t>
  </si>
  <si>
    <t>18.08.2026</t>
  </si>
  <si>
    <t>sTaosaazI idlao.</t>
  </si>
  <si>
    <t>20.08.2026</t>
  </si>
  <si>
    <t>21.08.2026</t>
  </si>
  <si>
    <t>24.08.2026</t>
  </si>
  <si>
    <t>1015.84.</t>
  </si>
  <si>
    <r>
      <t xml:space="preserve">500 kovhI </t>
    </r>
    <r>
      <rPr>
        <b/>
        <sz val="22"/>
        <color theme="1"/>
        <rFont val="Calibri"/>
        <family val="2"/>
        <scheme val="minor"/>
      </rPr>
      <t>DG</t>
    </r>
  </si>
  <si>
    <r>
      <rPr>
        <b/>
        <sz val="22"/>
        <color theme="1"/>
        <rFont val="Calibri"/>
        <family val="2"/>
        <scheme val="minor"/>
      </rPr>
      <t xml:space="preserve">MH 12 YQ 8117
</t>
    </r>
    <r>
      <rPr>
        <b/>
        <sz val="22"/>
        <color theme="1"/>
        <rFont val="Shivaji01"/>
      </rPr>
      <t xml:space="preserve"> iDJaola T^Mkr</t>
    </r>
  </si>
  <si>
    <r>
      <rPr>
        <b/>
        <sz val="22"/>
        <color theme="1"/>
        <rFont val="Calibri"/>
        <family val="2"/>
        <scheme val="minor"/>
      </rPr>
      <t xml:space="preserve">JCB </t>
    </r>
    <r>
      <rPr>
        <b/>
        <sz val="22"/>
        <color theme="1"/>
        <rFont val="Shivaji01"/>
        <family val="2"/>
      </rPr>
      <t>140 maiSana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</si>
</sst>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0" x14ac:knownFonts="1">
    <font>
      <sz val="11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24"/>
      <color theme="1"/>
      <name val="Shivaji01"/>
    </font>
    <font>
      <b/>
      <sz val="28"/>
      <color theme="1"/>
      <name val="Shivaji01"/>
      <family val="2"/>
    </font>
    <font>
      <b/>
      <sz val="28"/>
      <color theme="1"/>
      <name val="Calibri"/>
      <family val="2"/>
      <scheme val="minor"/>
    </font>
    <font>
      <b/>
      <sz val="28"/>
      <color theme="1"/>
      <name val="Shivaji01"/>
    </font>
    <font>
      <sz val="24"/>
      <color theme="1"/>
      <name val="Calibri"/>
      <family val="2"/>
      <scheme val="minor"/>
    </font>
    <font>
      <b/>
      <sz val="26"/>
      <color theme="1" tint="4.9989318521683403E-2"/>
      <name val="Calibri"/>
      <family val="2"/>
      <scheme val="minor"/>
    </font>
    <font>
      <b/>
      <sz val="26"/>
      <color theme="1" tint="4.9989318521683403E-2"/>
      <name val="Shivaji01"/>
      <family val="1"/>
    </font>
    <font>
      <b/>
      <sz val="18"/>
      <color theme="1"/>
      <name val="Calibri"/>
      <family val="2"/>
      <scheme val="minor"/>
    </font>
    <font>
      <sz val="28"/>
      <color theme="1"/>
      <name val="Shivaji01"/>
    </font>
    <font>
      <sz val="8"/>
      <name val="Calibri"/>
      <family val="2"/>
      <scheme val="minor"/>
    </font>
    <font>
      <sz val="26"/>
      <color theme="1"/>
      <name val="Shivaji01"/>
      <family val="2"/>
    </font>
    <font>
      <sz val="26"/>
      <color theme="1"/>
      <name val="Calibri"/>
      <family val="2"/>
      <scheme val="minor"/>
    </font>
    <font>
      <sz val="26"/>
      <color theme="1"/>
      <name val="Shivaji01"/>
    </font>
    <font>
      <sz val="22"/>
      <name val="Calibri"/>
      <family val="2"/>
      <scheme val="minor"/>
    </font>
    <font>
      <sz val="20"/>
      <name val="Calibri"/>
      <family val="2"/>
      <scheme val="minor"/>
    </font>
    <font>
      <b/>
      <sz val="26"/>
      <color theme="1"/>
      <name val="Shivaji01"/>
      <family val="2"/>
    </font>
    <font>
      <b/>
      <sz val="26"/>
      <color theme="1"/>
      <name val="Shivaji01"/>
    </font>
    <font>
      <b/>
      <sz val="14"/>
      <color theme="1"/>
      <name val="Calibri"/>
      <family val="2"/>
      <scheme val="minor"/>
    </font>
    <font>
      <sz val="24"/>
      <color theme="1"/>
      <name val="Shivaji01"/>
    </font>
    <font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36"/>
      <color theme="1"/>
      <name val="Shivaji01"/>
      <family val="2"/>
    </font>
    <font>
      <b/>
      <sz val="36"/>
      <color theme="1"/>
      <name val="Calibri"/>
      <family val="2"/>
      <scheme val="minor"/>
    </font>
    <font>
      <b/>
      <sz val="36"/>
      <color theme="1"/>
      <name val="Shivaji01"/>
    </font>
    <font>
      <b/>
      <sz val="22"/>
      <color theme="1"/>
      <name val="Calibri"/>
      <family val="2"/>
      <scheme val="minor"/>
    </font>
    <font>
      <b/>
      <sz val="24"/>
      <color theme="1"/>
      <name val="Shivaji01"/>
      <family val="2"/>
    </font>
    <font>
      <sz val="28"/>
      <name val="Shivaji01"/>
    </font>
    <font>
      <sz val="14"/>
      <color theme="1"/>
      <name val="Calibri"/>
      <family val="2"/>
      <scheme val="minor"/>
    </font>
    <font>
      <b/>
      <sz val="24"/>
      <color rgb="FFFF0000"/>
      <name val="Shivaji01"/>
    </font>
    <font>
      <b/>
      <sz val="22"/>
      <color theme="1"/>
      <name val="Shivaji01"/>
    </font>
    <font>
      <b/>
      <sz val="22"/>
      <color theme="1"/>
      <name val="Shivaji01"/>
      <family val="2"/>
    </font>
    <font>
      <sz val="22"/>
      <color theme="1"/>
      <name val="Shivaji0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07">
    <xf numFmtId="0" fontId="0" fillId="0" borderId="0" xfId="0"/>
    <xf numFmtId="0" fontId="2" fillId="2" borderId="4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4" fillId="0" borderId="7" xfId="0" applyFont="1" applyBorder="1"/>
    <xf numFmtId="0" fontId="5" fillId="0" borderId="7" xfId="0" applyFont="1" applyBorder="1" applyAlignment="1">
      <alignment horizontal="center" vertical="center"/>
    </xf>
    <xf numFmtId="2" fontId="3" fillId="0" borderId="10" xfId="0" applyNumberFormat="1" applyFont="1" applyBorder="1" applyAlignment="1">
      <alignment horizontal="center" vertical="center"/>
    </xf>
    <xf numFmtId="0" fontId="5" fillId="0" borderId="7" xfId="0" applyFont="1" applyBorder="1" applyAlignment="1">
      <alignment horizontal="center"/>
    </xf>
    <xf numFmtId="0" fontId="1" fillId="0" borderId="7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0" fillId="0" borderId="7" xfId="0" applyBorder="1"/>
    <xf numFmtId="0" fontId="8" fillId="2" borderId="16" xfId="0" applyFont="1" applyFill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9" fillId="2" borderId="7" xfId="0" applyFont="1" applyFill="1" applyBorder="1" applyAlignment="1">
      <alignment horizontal="left" vertical="center"/>
    </xf>
    <xf numFmtId="0" fontId="12" fillId="0" borderId="7" xfId="0" applyFont="1" applyBorder="1" applyAlignment="1">
      <alignment horizontal="center" vertical="center"/>
    </xf>
    <xf numFmtId="0" fontId="11" fillId="2" borderId="7" xfId="0" applyFont="1" applyFill="1" applyBorder="1" applyAlignment="1">
      <alignment horizontal="left" vertical="center"/>
    </xf>
    <xf numFmtId="0" fontId="11" fillId="2" borderId="5" xfId="0" applyFont="1" applyFill="1" applyBorder="1" applyAlignment="1">
      <alignment horizontal="left" vertical="center"/>
    </xf>
    <xf numFmtId="0" fontId="13" fillId="2" borderId="7" xfId="0" applyFont="1" applyFill="1" applyBorder="1" applyAlignment="1">
      <alignment horizontal="left" vertical="center" wrapText="1"/>
    </xf>
    <xf numFmtId="0" fontId="14" fillId="2" borderId="7" xfId="0" applyFont="1" applyFill="1" applyBorder="1" applyAlignment="1">
      <alignment horizontal="left" vertical="center" wrapText="1"/>
    </xf>
    <xf numFmtId="0" fontId="12" fillId="0" borderId="10" xfId="0" applyFont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12" fillId="0" borderId="7" xfId="0" applyFont="1" applyBorder="1" applyAlignment="1">
      <alignment vertical="center"/>
    </xf>
    <xf numFmtId="0" fontId="1" fillId="2" borderId="4" xfId="0" applyFont="1" applyFill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9" fillId="2" borderId="5" xfId="0" applyFont="1" applyFill="1" applyBorder="1" applyAlignment="1">
      <alignment horizontal="left" vertical="center"/>
    </xf>
    <xf numFmtId="0" fontId="16" fillId="0" borderId="7" xfId="0" applyFont="1" applyBorder="1" applyAlignment="1">
      <alignment horizontal="center"/>
    </xf>
    <xf numFmtId="0" fontId="12" fillId="0" borderId="18" xfId="0" applyFont="1" applyBorder="1" applyAlignment="1">
      <alignment horizontal="center" vertical="center"/>
    </xf>
    <xf numFmtId="0" fontId="8" fillId="0" borderId="7" xfId="0" applyFont="1" applyBorder="1"/>
    <xf numFmtId="0" fontId="16" fillId="0" borderId="7" xfId="0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0" fontId="8" fillId="2" borderId="9" xfId="0" applyFont="1" applyFill="1" applyBorder="1" applyAlignment="1">
      <alignment vertical="top"/>
    </xf>
    <xf numFmtId="0" fontId="8" fillId="2" borderId="7" xfId="0" applyFont="1" applyFill="1" applyBorder="1" applyAlignment="1">
      <alignment vertical="top"/>
    </xf>
    <xf numFmtId="0" fontId="9" fillId="2" borderId="5" xfId="0" applyFont="1" applyFill="1" applyBorder="1" applyAlignment="1">
      <alignment horizontal="left" vertical="center" wrapText="1"/>
    </xf>
    <xf numFmtId="0" fontId="12" fillId="0" borderId="18" xfId="0" applyFont="1" applyBorder="1" applyAlignment="1">
      <alignment vertical="center"/>
    </xf>
    <xf numFmtId="0" fontId="8" fillId="0" borderId="11" xfId="0" applyFont="1" applyBorder="1" applyAlignment="1">
      <alignment horizontal="center" vertical="center"/>
    </xf>
    <xf numFmtId="0" fontId="9" fillId="2" borderId="5" xfId="0" applyFont="1" applyFill="1" applyBorder="1"/>
    <xf numFmtId="0" fontId="18" fillId="2" borderId="5" xfId="0" applyFont="1" applyFill="1" applyBorder="1" applyAlignment="1">
      <alignment horizontal="left" vertical="center" wrapText="1"/>
    </xf>
    <xf numFmtId="0" fontId="8" fillId="2" borderId="5" xfId="0" applyFont="1" applyFill="1" applyBorder="1" applyAlignment="1">
      <alignment vertical="top"/>
    </xf>
    <xf numFmtId="0" fontId="8" fillId="0" borderId="5" xfId="0" applyFont="1" applyBorder="1" applyAlignment="1">
      <alignment horizontal="center" vertical="center"/>
    </xf>
    <xf numFmtId="0" fontId="9" fillId="2" borderId="5" xfId="0" applyFont="1" applyFill="1" applyBorder="1" applyAlignment="1">
      <alignment horizontal="left"/>
    </xf>
    <xf numFmtId="0" fontId="10" fillId="2" borderId="7" xfId="0" applyFont="1" applyFill="1" applyBorder="1" applyAlignment="1">
      <alignment horizontal="left" vertical="center"/>
    </xf>
    <xf numFmtId="0" fontId="8" fillId="2" borderId="5" xfId="0" applyFont="1" applyFill="1" applyBorder="1" applyAlignment="1">
      <alignment horizontal="left" vertical="center" wrapText="1"/>
    </xf>
    <xf numFmtId="2" fontId="3" fillId="0" borderId="7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/>
    <xf numFmtId="0" fontId="5" fillId="0" borderId="0" xfId="0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/>
    </xf>
    <xf numFmtId="0" fontId="1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2" fontId="5" fillId="0" borderId="7" xfId="0" applyNumberFormat="1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12" fillId="0" borderId="7" xfId="0" applyFont="1" applyBorder="1" applyAlignment="1">
      <alignment horizontal="center"/>
    </xf>
    <xf numFmtId="0" fontId="4" fillId="0" borderId="7" xfId="0" applyFont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top"/>
    </xf>
    <xf numFmtId="0" fontId="4" fillId="0" borderId="7" xfId="0" applyFont="1" applyBorder="1" applyAlignment="1">
      <alignment vertical="center"/>
    </xf>
    <xf numFmtId="0" fontId="23" fillId="2" borderId="5" xfId="0" applyFont="1" applyFill="1" applyBorder="1" applyAlignment="1">
      <alignment horizontal="left" vertical="center" wrapText="1"/>
    </xf>
    <xf numFmtId="0" fontId="12" fillId="0" borderId="7" xfId="0" applyFont="1" applyBorder="1"/>
    <xf numFmtId="0" fontId="12" fillId="0" borderId="31" xfId="0" applyFont="1" applyBorder="1" applyAlignment="1">
      <alignment horizontal="center" vertical="center"/>
    </xf>
    <xf numFmtId="0" fontId="3" fillId="0" borderId="0" xfId="0" applyFont="1"/>
    <xf numFmtId="0" fontId="25" fillId="0" borderId="7" xfId="0" applyFont="1" applyBorder="1"/>
    <xf numFmtId="0" fontId="2" fillId="0" borderId="4" xfId="0" applyFont="1" applyBorder="1" applyAlignment="1">
      <alignment horizontal="center" vertical="center"/>
    </xf>
    <xf numFmtId="0" fontId="21" fillId="0" borderId="7" xfId="0" applyFont="1" applyBorder="1"/>
    <xf numFmtId="0" fontId="22" fillId="0" borderId="7" xfId="0" applyFont="1" applyBorder="1" applyAlignment="1">
      <alignment horizontal="center" vertical="center"/>
    </xf>
    <xf numFmtId="2" fontId="2" fillId="0" borderId="7" xfId="0" applyNumberFormat="1" applyFont="1" applyBorder="1" applyAlignment="1">
      <alignment horizontal="center" vertical="center"/>
    </xf>
    <xf numFmtId="0" fontId="2" fillId="0" borderId="7" xfId="0" applyFont="1" applyBorder="1" applyAlignment="1">
      <alignment vertical="center" wrapText="1"/>
    </xf>
    <xf numFmtId="0" fontId="25" fillId="0" borderId="0" xfId="0" applyFont="1"/>
    <xf numFmtId="0" fontId="26" fillId="0" borderId="7" xfId="0" applyFont="1" applyBorder="1" applyAlignment="1">
      <alignment horizontal="center" vertical="center"/>
    </xf>
    <xf numFmtId="2" fontId="2" fillId="0" borderId="10" xfId="0" applyNumberFormat="1" applyFont="1" applyBorder="1" applyAlignment="1">
      <alignment horizontal="center" vertical="center"/>
    </xf>
    <xf numFmtId="0" fontId="10" fillId="2" borderId="7" xfId="0" applyFont="1" applyFill="1" applyBorder="1" applyAlignment="1">
      <alignment horizontal="left" vertical="center" wrapText="1"/>
    </xf>
    <xf numFmtId="0" fontId="8" fillId="0" borderId="32" xfId="0" applyFont="1" applyBorder="1" applyAlignment="1">
      <alignment horizontal="center" vertical="center"/>
    </xf>
    <xf numFmtId="0" fontId="27" fillId="0" borderId="0" xfId="0" applyFont="1"/>
    <xf numFmtId="0" fontId="28" fillId="0" borderId="0" xfId="0" applyFont="1" applyAlignment="1">
      <alignment horizontal="center"/>
    </xf>
    <xf numFmtId="0" fontId="28" fillId="0" borderId="0" xfId="0" applyFont="1"/>
    <xf numFmtId="0" fontId="15" fillId="0" borderId="0" xfId="0" applyFont="1"/>
    <xf numFmtId="0" fontId="32" fillId="2" borderId="4" xfId="0" applyFont="1" applyFill="1" applyBorder="1" applyAlignment="1">
      <alignment horizontal="center" vertical="center"/>
    </xf>
    <xf numFmtId="0" fontId="32" fillId="0" borderId="5" xfId="0" applyFont="1" applyBorder="1" applyAlignment="1">
      <alignment horizontal="center" vertical="center"/>
    </xf>
    <xf numFmtId="0" fontId="32" fillId="0" borderId="6" xfId="0" applyFont="1" applyBorder="1" applyAlignment="1">
      <alignment horizontal="center" vertical="center"/>
    </xf>
    <xf numFmtId="0" fontId="32" fillId="0" borderId="7" xfId="0" applyFont="1" applyBorder="1" applyAlignment="1">
      <alignment horizontal="center" vertical="center"/>
    </xf>
    <xf numFmtId="0" fontId="32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2" fontId="4" fillId="0" borderId="10" xfId="0" applyNumberFormat="1" applyFont="1" applyBorder="1" applyAlignment="1">
      <alignment horizontal="center" vertical="center"/>
    </xf>
    <xf numFmtId="0" fontId="4" fillId="0" borderId="7" xfId="0" applyFont="1" applyBorder="1" applyAlignment="1">
      <alignment horizontal="center"/>
    </xf>
    <xf numFmtId="2" fontId="4" fillId="0" borderId="7" xfId="0" applyNumberFormat="1" applyFont="1" applyBorder="1" applyAlignment="1">
      <alignment horizontal="center" vertical="center"/>
    </xf>
    <xf numFmtId="0" fontId="23" fillId="2" borderId="5" xfId="0" applyFont="1" applyFill="1" applyBorder="1" applyAlignment="1">
      <alignment horizontal="left"/>
    </xf>
    <xf numFmtId="0" fontId="23" fillId="2" borderId="5" xfId="0" applyFont="1" applyFill="1" applyBorder="1" applyAlignment="1">
      <alignment horizontal="left" vertical="center"/>
    </xf>
    <xf numFmtId="0" fontId="24" fillId="2" borderId="5" xfId="0" applyFont="1" applyFill="1" applyBorder="1" applyAlignment="1">
      <alignment horizontal="left" vertical="center"/>
    </xf>
    <xf numFmtId="0" fontId="33" fillId="2" borderId="5" xfId="0" applyFont="1" applyFill="1" applyBorder="1" applyAlignment="1">
      <alignment horizontal="left" vertical="center" wrapText="1"/>
    </xf>
    <xf numFmtId="0" fontId="7" fillId="0" borderId="7" xfId="0" applyFont="1" applyBorder="1" applyAlignment="1">
      <alignment horizontal="center"/>
    </xf>
    <xf numFmtId="0" fontId="34" fillId="0" borderId="7" xfId="0" applyFont="1" applyBorder="1" applyAlignment="1">
      <alignment horizontal="center" vertical="center" wrapText="1"/>
    </xf>
    <xf numFmtId="2" fontId="8" fillId="0" borderId="7" xfId="0" applyNumberFormat="1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26" fillId="0" borderId="10" xfId="0" applyFont="1" applyBorder="1" applyAlignment="1">
      <alignment horizontal="center" vertical="center"/>
    </xf>
    <xf numFmtId="0" fontId="7" fillId="0" borderId="0" xfId="0" applyFont="1"/>
    <xf numFmtId="0" fontId="4" fillId="0" borderId="7" xfId="0" applyFont="1" applyBorder="1" applyAlignment="1">
      <alignment horizontal="left" vertical="center"/>
    </xf>
    <xf numFmtId="0" fontId="4" fillId="0" borderId="7" xfId="0" applyFont="1" applyBorder="1" applyAlignment="1">
      <alignment horizontal="left"/>
    </xf>
    <xf numFmtId="0" fontId="10" fillId="2" borderId="5" xfId="0" applyFont="1" applyFill="1" applyBorder="1" applyAlignment="1">
      <alignment horizontal="left" vertical="center"/>
    </xf>
    <xf numFmtId="0" fontId="35" fillId="0" borderId="0" xfId="0" applyFont="1"/>
    <xf numFmtId="0" fontId="5" fillId="0" borderId="17" xfId="0" applyFont="1" applyBorder="1" applyAlignment="1">
      <alignment horizontal="center"/>
    </xf>
    <xf numFmtId="2" fontId="15" fillId="0" borderId="6" xfId="0" applyNumberFormat="1" applyFont="1" applyBorder="1" applyAlignment="1">
      <alignment horizontal="center" vertical="center"/>
    </xf>
    <xf numFmtId="0" fontId="2" fillId="0" borderId="33" xfId="0" applyFont="1" applyBorder="1" applyAlignment="1">
      <alignment horizontal="center" vertical="center"/>
    </xf>
    <xf numFmtId="0" fontId="35" fillId="0" borderId="7" xfId="0" applyFont="1" applyBorder="1" applyAlignment="1">
      <alignment horizontal="center" vertical="center"/>
    </xf>
    <xf numFmtId="0" fontId="36" fillId="0" borderId="7" xfId="0" applyFont="1" applyBorder="1" applyAlignment="1">
      <alignment horizontal="center" vertical="center"/>
    </xf>
    <xf numFmtId="0" fontId="9" fillId="2" borderId="7" xfId="0" applyFont="1" applyFill="1" applyBorder="1" applyAlignment="1">
      <alignment horizontal="left" vertical="center" wrapText="1"/>
    </xf>
    <xf numFmtId="0" fontId="2" fillId="0" borderId="0" xfId="0" applyFont="1" applyAlignment="1">
      <alignment horizontal="center" vertical="center"/>
    </xf>
    <xf numFmtId="0" fontId="4" fillId="0" borderId="34" xfId="0" applyFont="1" applyBorder="1" applyAlignment="1">
      <alignment horizontal="center" vertical="center"/>
    </xf>
    <xf numFmtId="0" fontId="24" fillId="2" borderId="16" xfId="0" applyFont="1" applyFill="1" applyBorder="1" applyAlignment="1">
      <alignment horizontal="center" vertical="center"/>
    </xf>
    <xf numFmtId="0" fontId="24" fillId="0" borderId="7" xfId="0" applyFont="1" applyBorder="1" applyAlignment="1">
      <alignment horizontal="center" vertical="center"/>
    </xf>
    <xf numFmtId="0" fontId="24" fillId="0" borderId="17" xfId="0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2" fontId="1" fillId="0" borderId="10" xfId="0" applyNumberFormat="1" applyFont="1" applyBorder="1" applyAlignment="1">
      <alignment horizontal="center" vertical="center"/>
    </xf>
    <xf numFmtId="0" fontId="1" fillId="0" borderId="7" xfId="0" applyFont="1" applyBorder="1" applyAlignment="1">
      <alignment horizontal="center"/>
    </xf>
    <xf numFmtId="0" fontId="19" fillId="0" borderId="0" xfId="0" applyFont="1"/>
    <xf numFmtId="0" fontId="26" fillId="0" borderId="18" xfId="0" applyFont="1" applyBorder="1" applyAlignment="1">
      <alignment horizontal="center" vertical="center"/>
    </xf>
    <xf numFmtId="0" fontId="26" fillId="0" borderId="10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26" fillId="0" borderId="5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0" fontId="12" fillId="0" borderId="10" xfId="0" applyFont="1" applyBorder="1" applyAlignment="1">
      <alignment horizontal="center" vertical="center"/>
    </xf>
    <xf numFmtId="0" fontId="11" fillId="2" borderId="7" xfId="0" applyFont="1" applyFill="1" applyBorder="1" applyAlignment="1">
      <alignment horizontal="left" vertical="center" wrapText="1"/>
    </xf>
    <xf numFmtId="0" fontId="12" fillId="0" borderId="18" xfId="0" applyFont="1" applyBorder="1" applyAlignment="1">
      <alignment horizontal="center" vertical="center"/>
    </xf>
    <xf numFmtId="0" fontId="12" fillId="0" borderId="7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top"/>
    </xf>
    <xf numFmtId="0" fontId="8" fillId="2" borderId="18" xfId="0" applyFont="1" applyFill="1" applyBorder="1" applyAlignment="1">
      <alignment horizontal="center" vertical="top"/>
    </xf>
    <xf numFmtId="0" fontId="8" fillId="2" borderId="10" xfId="0" applyFont="1" applyFill="1" applyBorder="1" applyAlignment="1">
      <alignment horizontal="center" vertical="top"/>
    </xf>
    <xf numFmtId="0" fontId="8" fillId="2" borderId="19" xfId="0" applyFont="1" applyFill="1" applyBorder="1" applyAlignment="1">
      <alignment horizontal="center" vertical="top"/>
    </xf>
    <xf numFmtId="0" fontId="8" fillId="2" borderId="9" xfId="0" applyFont="1" applyFill="1" applyBorder="1" applyAlignment="1">
      <alignment horizontal="center" vertical="top"/>
    </xf>
    <xf numFmtId="0" fontId="8" fillId="2" borderId="20" xfId="0" applyFont="1" applyFill="1" applyBorder="1" applyAlignment="1">
      <alignment horizontal="center" vertical="top"/>
    </xf>
    <xf numFmtId="0" fontId="11" fillId="2" borderId="21" xfId="0" applyFont="1" applyFill="1" applyBorder="1" applyAlignment="1">
      <alignment horizontal="left" vertical="center" wrapText="1"/>
    </xf>
    <xf numFmtId="0" fontId="11" fillId="2" borderId="22" xfId="0" applyFont="1" applyFill="1" applyBorder="1" applyAlignment="1">
      <alignment horizontal="left" vertical="center" wrapText="1"/>
    </xf>
    <xf numFmtId="0" fontId="11" fillId="2" borderId="23" xfId="0" applyFont="1" applyFill="1" applyBorder="1" applyAlignment="1">
      <alignment horizontal="left" vertical="center" wrapText="1"/>
    </xf>
    <xf numFmtId="0" fontId="11" fillId="2" borderId="24" xfId="0" applyFont="1" applyFill="1" applyBorder="1" applyAlignment="1">
      <alignment horizontal="left" vertical="center" wrapText="1"/>
    </xf>
    <xf numFmtId="0" fontId="11" fillId="2" borderId="25" xfId="0" applyFont="1" applyFill="1" applyBorder="1" applyAlignment="1">
      <alignment horizontal="left" vertical="center" wrapText="1"/>
    </xf>
    <xf numFmtId="0" fontId="11" fillId="2" borderId="26" xfId="0" applyFont="1" applyFill="1" applyBorder="1" applyAlignment="1">
      <alignment horizontal="left" vertical="center" wrapText="1"/>
    </xf>
    <xf numFmtId="0" fontId="8" fillId="0" borderId="5" xfId="0" applyFont="1" applyBorder="1" applyAlignment="1">
      <alignment horizontal="center" vertical="top"/>
    </xf>
    <xf numFmtId="0" fontId="8" fillId="0" borderId="18" xfId="0" applyFont="1" applyBorder="1" applyAlignment="1">
      <alignment horizontal="center" vertical="top"/>
    </xf>
    <xf numFmtId="0" fontId="8" fillId="0" borderId="10" xfId="0" applyFont="1" applyBorder="1" applyAlignment="1">
      <alignment horizontal="center" vertical="top"/>
    </xf>
    <xf numFmtId="0" fontId="15" fillId="0" borderId="11" xfId="0" applyFont="1" applyBorder="1" applyAlignment="1">
      <alignment horizontal="center" vertical="center"/>
    </xf>
    <xf numFmtId="0" fontId="15" fillId="0" borderId="12" xfId="0" applyFont="1" applyBorder="1" applyAlignment="1">
      <alignment horizontal="center" vertical="center"/>
    </xf>
    <xf numFmtId="0" fontId="12" fillId="0" borderId="27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29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top"/>
    </xf>
    <xf numFmtId="0" fontId="15" fillId="0" borderId="7" xfId="0" applyFont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9" fillId="2" borderId="21" xfId="0" applyFont="1" applyFill="1" applyBorder="1" applyAlignment="1">
      <alignment horizontal="left" vertical="center" wrapText="1"/>
    </xf>
    <xf numFmtId="0" fontId="29" fillId="2" borderId="21" xfId="0" applyFont="1" applyFill="1" applyBorder="1" applyAlignment="1">
      <alignment horizontal="left" vertical="center" wrapText="1"/>
    </xf>
    <xf numFmtId="0" fontId="31" fillId="2" borderId="22" xfId="0" applyFont="1" applyFill="1" applyBorder="1" applyAlignment="1">
      <alignment horizontal="left" vertical="center" wrapText="1"/>
    </xf>
    <xf numFmtId="0" fontId="31" fillId="2" borderId="23" xfId="0" applyFont="1" applyFill="1" applyBorder="1" applyAlignment="1">
      <alignment horizontal="left" vertical="center" wrapText="1"/>
    </xf>
    <xf numFmtId="0" fontId="31" fillId="2" borderId="24" xfId="0" applyFont="1" applyFill="1" applyBorder="1" applyAlignment="1">
      <alignment horizontal="left" vertical="center" wrapText="1"/>
    </xf>
    <xf numFmtId="0" fontId="31" fillId="2" borderId="25" xfId="0" applyFont="1" applyFill="1" applyBorder="1" applyAlignment="1">
      <alignment horizontal="left" vertical="center" wrapText="1"/>
    </xf>
    <xf numFmtId="0" fontId="31" fillId="2" borderId="26" xfId="0" applyFont="1" applyFill="1" applyBorder="1" applyAlignment="1">
      <alignment horizontal="left" vertical="center" wrapText="1"/>
    </xf>
    <xf numFmtId="0" fontId="32" fillId="0" borderId="1" xfId="0" applyFont="1" applyBorder="1" applyAlignment="1">
      <alignment horizontal="center" vertical="center" wrapText="1"/>
    </xf>
    <xf numFmtId="0" fontId="32" fillId="0" borderId="2" xfId="0" applyFont="1" applyBorder="1" applyAlignment="1">
      <alignment horizontal="center" vertical="center" wrapText="1"/>
    </xf>
    <xf numFmtId="0" fontId="32" fillId="0" borderId="3" xfId="0" applyFont="1" applyBorder="1" applyAlignment="1">
      <alignment horizontal="center" vertical="center" wrapText="1"/>
    </xf>
    <xf numFmtId="0" fontId="32" fillId="0" borderId="7" xfId="0" applyFont="1" applyBorder="1" applyAlignment="1">
      <alignment horizontal="center" vertical="center"/>
    </xf>
    <xf numFmtId="0" fontId="32" fillId="0" borderId="11" xfId="0" applyFont="1" applyBorder="1" applyAlignment="1">
      <alignment horizontal="center" vertical="center"/>
    </xf>
    <xf numFmtId="0" fontId="32" fillId="0" borderId="12" xfId="0" applyFont="1" applyBorder="1" applyAlignment="1">
      <alignment horizontal="center" vertical="center"/>
    </xf>
    <xf numFmtId="0" fontId="26" fillId="0" borderId="7" xfId="0" applyFont="1" applyBorder="1" applyAlignment="1">
      <alignment horizontal="center" vertical="center"/>
    </xf>
    <xf numFmtId="0" fontId="34" fillId="0" borderId="7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37" fillId="2" borderId="7" xfId="0" applyFont="1" applyFill="1" applyBorder="1" applyAlignment="1">
      <alignment horizontal="left" vertical="top"/>
    </xf>
    <xf numFmtId="0" fontId="38" fillId="2" borderId="7" xfId="0" applyFont="1" applyFill="1" applyBorder="1" applyAlignment="1">
      <alignment horizontal="left" vertical="center"/>
    </xf>
    <xf numFmtId="0" fontId="37" fillId="0" borderId="7" xfId="0" applyFont="1" applyBorder="1" applyAlignment="1">
      <alignment horizontal="center" vertical="center"/>
    </xf>
    <xf numFmtId="0" fontId="39" fillId="0" borderId="7" xfId="0" applyFont="1" applyBorder="1" applyAlignment="1">
      <alignment horizontal="center" vertical="center"/>
    </xf>
    <xf numFmtId="0" fontId="37" fillId="2" borderId="7" xfId="0" applyFont="1" applyFill="1" applyBorder="1" applyAlignment="1">
      <alignment vertical="top"/>
    </xf>
    <xf numFmtId="0" fontId="38" fillId="2" borderId="5" xfId="0" applyFont="1" applyFill="1" applyBorder="1" applyAlignment="1">
      <alignment horizontal="left" vertical="center" wrapText="1"/>
    </xf>
    <xf numFmtId="0" fontId="37" fillId="2" borderId="7" xfId="0" applyFont="1" applyFill="1" applyBorder="1" applyAlignment="1">
      <alignment horizontal="left" vertical="center"/>
    </xf>
    <xf numFmtId="0" fontId="39" fillId="0" borderId="5" xfId="0" applyFont="1" applyBorder="1" applyAlignment="1">
      <alignment horizontal="center" vertical="center"/>
    </xf>
    <xf numFmtId="0" fontId="39" fillId="0" borderId="10" xfId="0" applyFont="1" applyBorder="1" applyAlignment="1">
      <alignment horizontal="center" vertical="center"/>
    </xf>
    <xf numFmtId="0" fontId="38" fillId="2" borderId="5" xfId="0" applyFont="1" applyFill="1" applyBorder="1" applyAlignment="1">
      <alignment horizontal="left"/>
    </xf>
    <xf numFmtId="0" fontId="39" fillId="0" borderId="18" xfId="0" applyFont="1" applyBorder="1" applyAlignment="1">
      <alignment horizontal="center" vertical="center"/>
    </xf>
    <xf numFmtId="0" fontId="37" fillId="0" borderId="11" xfId="0" applyFont="1" applyBorder="1" applyAlignment="1">
      <alignment horizontal="center" vertical="center"/>
    </xf>
    <xf numFmtId="0" fontId="39" fillId="0" borderId="27" xfId="0" applyFont="1" applyBorder="1" applyAlignment="1">
      <alignment horizontal="center" vertical="center"/>
    </xf>
    <xf numFmtId="0" fontId="37" fillId="2" borderId="5" xfId="0" applyFont="1" applyFill="1" applyBorder="1" applyAlignment="1">
      <alignment vertical="top"/>
    </xf>
    <xf numFmtId="0" fontId="37" fillId="2" borderId="5" xfId="0" applyFont="1" applyFill="1" applyBorder="1" applyAlignment="1">
      <alignment horizontal="left" vertical="center"/>
    </xf>
    <xf numFmtId="0" fontId="37" fillId="0" borderId="32" xfId="0" applyFont="1" applyBorder="1" applyAlignment="1">
      <alignment horizontal="center" vertical="center"/>
    </xf>
    <xf numFmtId="0" fontId="39" fillId="0" borderId="29" xfId="0" applyFont="1" applyBorder="1" applyAlignment="1">
      <alignment horizontal="center" vertical="center"/>
    </xf>
    <xf numFmtId="0" fontId="38" fillId="2" borderId="7" xfId="0" applyFont="1" applyFill="1" applyBorder="1" applyAlignment="1">
      <alignment horizontal="left" vertical="center" wrapText="1"/>
    </xf>
    <xf numFmtId="0" fontId="37" fillId="0" borderId="1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"/>
  <sheetViews>
    <sheetView workbookViewId="0">
      <selection activeCell="F11" sqref="F11"/>
    </sheetView>
  </sheetViews>
  <sheetFormatPr defaultRowHeight="15" x14ac:dyDescent="0.25"/>
  <cols>
    <col min="2" max="2" width="17.7109375" customWidth="1"/>
    <col min="3" max="3" width="36.7109375" customWidth="1"/>
    <col min="4" max="4" width="20.5703125" customWidth="1"/>
    <col min="5" max="5" width="22" customWidth="1"/>
    <col min="6" max="6" width="30.85546875" customWidth="1"/>
  </cols>
  <sheetData>
    <row r="1" spans="1:6" x14ac:dyDescent="0.25">
      <c r="A1" t="s">
        <v>0</v>
      </c>
    </row>
    <row r="3" spans="1:6" ht="15.75" thickBot="1" x14ac:dyDescent="0.3"/>
    <row r="4" spans="1:6" ht="75" customHeight="1" x14ac:dyDescent="0.25">
      <c r="B4" s="129" t="s">
        <v>1</v>
      </c>
      <c r="C4" s="130"/>
      <c r="D4" s="130"/>
      <c r="E4" s="130"/>
      <c r="F4" s="131"/>
    </row>
    <row r="5" spans="1:6" ht="27" thickBot="1" x14ac:dyDescent="0.3">
      <c r="B5" s="1" t="s">
        <v>2</v>
      </c>
      <c r="C5" s="2" t="s">
        <v>3</v>
      </c>
      <c r="D5" s="3" t="s">
        <v>4</v>
      </c>
      <c r="E5" s="4" t="s">
        <v>5</v>
      </c>
      <c r="F5" s="5" t="s">
        <v>6</v>
      </c>
    </row>
    <row r="6" spans="1:6" ht="28.5" x14ac:dyDescent="0.45">
      <c r="B6" s="6">
        <v>1</v>
      </c>
      <c r="C6" s="7" t="s">
        <v>7</v>
      </c>
      <c r="D6" s="8">
        <v>1000</v>
      </c>
      <c r="E6" s="9">
        <v>92</v>
      </c>
      <c r="F6" s="10">
        <f>E6*D6</f>
        <v>92000</v>
      </c>
    </row>
    <row r="7" spans="1:6" ht="28.5" x14ac:dyDescent="0.45">
      <c r="B7" s="6">
        <v>2</v>
      </c>
      <c r="C7" s="7" t="s">
        <v>8</v>
      </c>
      <c r="D7" s="8">
        <v>800</v>
      </c>
      <c r="E7" s="9">
        <v>92</v>
      </c>
      <c r="F7" s="10">
        <f t="shared" ref="F7:F10" si="0">E7*D7</f>
        <v>73600</v>
      </c>
    </row>
    <row r="8" spans="1:6" ht="28.5" x14ac:dyDescent="0.45">
      <c r="B8" s="6">
        <v>3</v>
      </c>
      <c r="C8" s="7" t="s">
        <v>9</v>
      </c>
      <c r="D8" s="8">
        <v>1000</v>
      </c>
      <c r="E8" s="9">
        <v>92</v>
      </c>
      <c r="F8" s="10">
        <f t="shared" si="0"/>
        <v>92000</v>
      </c>
    </row>
    <row r="9" spans="1:6" ht="28.5" x14ac:dyDescent="0.45">
      <c r="B9" s="6">
        <v>4</v>
      </c>
      <c r="C9" s="7" t="s">
        <v>10</v>
      </c>
      <c r="D9" s="8">
        <v>1000</v>
      </c>
      <c r="E9" s="9">
        <v>92</v>
      </c>
      <c r="F9" s="10">
        <f t="shared" si="0"/>
        <v>92000</v>
      </c>
    </row>
    <row r="10" spans="1:6" ht="28.5" x14ac:dyDescent="0.45">
      <c r="B10" s="6">
        <v>5</v>
      </c>
      <c r="C10" s="7" t="s">
        <v>11</v>
      </c>
      <c r="D10" s="8">
        <v>1000</v>
      </c>
      <c r="E10" s="9">
        <v>92</v>
      </c>
      <c r="F10" s="10">
        <f t="shared" si="0"/>
        <v>92000</v>
      </c>
    </row>
    <row r="11" spans="1:6" ht="43.5" customHeight="1" x14ac:dyDescent="0.5">
      <c r="B11" s="132" t="s">
        <v>12</v>
      </c>
      <c r="C11" s="132"/>
      <c r="D11" s="12">
        <v>4800</v>
      </c>
      <c r="E11" s="9">
        <v>92</v>
      </c>
      <c r="F11" s="59">
        <f>E11*D11</f>
        <v>441600</v>
      </c>
    </row>
    <row r="12" spans="1:6" ht="45.75" customHeight="1" x14ac:dyDescent="0.25">
      <c r="B12" s="133" t="s">
        <v>13</v>
      </c>
      <c r="C12" s="134"/>
      <c r="D12" s="13"/>
      <c r="E12" s="13"/>
      <c r="F12" s="13"/>
    </row>
  </sheetData>
  <mergeCells count="3">
    <mergeCell ref="B4:F4"/>
    <mergeCell ref="B11:C11"/>
    <mergeCell ref="B12:C1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3:E75"/>
  <sheetViews>
    <sheetView topLeftCell="A67" workbookViewId="0">
      <selection activeCell="B75" sqref="B75:D75"/>
    </sheetView>
  </sheetViews>
  <sheetFormatPr defaultRowHeight="15" x14ac:dyDescent="0.25"/>
  <cols>
    <col min="1" max="1" width="18.28515625" customWidth="1"/>
    <col min="2" max="2" width="30.7109375" customWidth="1"/>
    <col min="3" max="3" width="49.42578125" customWidth="1"/>
    <col min="4" max="4" width="30.7109375" customWidth="1"/>
    <col min="5" max="5" width="30.85546875" customWidth="1"/>
  </cols>
  <sheetData>
    <row r="3" spans="2:5" ht="15.75" thickBot="1" x14ac:dyDescent="0.3"/>
    <row r="4" spans="2:5" ht="96.75" customHeight="1" thickBot="1" x14ac:dyDescent="0.3">
      <c r="B4" s="125" t="s">
        <v>14</v>
      </c>
      <c r="C4" s="126"/>
      <c r="D4" s="126"/>
      <c r="E4" s="127"/>
    </row>
    <row r="5" spans="2:5" ht="30.75" x14ac:dyDescent="0.25">
      <c r="B5" s="14" t="s">
        <v>15</v>
      </c>
      <c r="C5" s="15" t="s">
        <v>16</v>
      </c>
      <c r="D5" s="15" t="s">
        <v>17</v>
      </c>
      <c r="E5" s="16" t="s">
        <v>18</v>
      </c>
    </row>
    <row r="6" spans="2:5" ht="36" x14ac:dyDescent="0.25">
      <c r="B6" s="14" t="s">
        <v>7</v>
      </c>
      <c r="C6" s="17" t="s">
        <v>19</v>
      </c>
      <c r="D6" s="15">
        <v>200</v>
      </c>
      <c r="E6" s="139">
        <v>600</v>
      </c>
    </row>
    <row r="7" spans="2:5" ht="36" x14ac:dyDescent="0.25">
      <c r="B7" s="14" t="s">
        <v>7</v>
      </c>
      <c r="C7" s="19" t="s">
        <v>20</v>
      </c>
      <c r="D7" s="15">
        <v>400</v>
      </c>
      <c r="E7" s="139"/>
    </row>
    <row r="8" spans="2:5" ht="36" x14ac:dyDescent="0.25">
      <c r="B8" s="14" t="s">
        <v>21</v>
      </c>
      <c r="C8" s="20" t="s">
        <v>22</v>
      </c>
      <c r="D8" s="15">
        <v>90</v>
      </c>
      <c r="E8" s="18">
        <v>90</v>
      </c>
    </row>
    <row r="9" spans="2:5" ht="36" x14ac:dyDescent="0.25">
      <c r="B9" s="14" t="s">
        <v>23</v>
      </c>
      <c r="C9" s="17" t="s">
        <v>19</v>
      </c>
      <c r="D9" s="15">
        <v>80</v>
      </c>
      <c r="E9" s="135">
        <v>100</v>
      </c>
    </row>
    <row r="10" spans="2:5" ht="40.5" customHeight="1" x14ac:dyDescent="0.25">
      <c r="B10" s="14" t="s">
        <v>23</v>
      </c>
      <c r="C10" s="21" t="s">
        <v>24</v>
      </c>
      <c r="D10" s="15">
        <v>20</v>
      </c>
      <c r="E10" s="138"/>
    </row>
    <row r="11" spans="2:5" ht="36" x14ac:dyDescent="0.25">
      <c r="B11" s="14" t="s">
        <v>25</v>
      </c>
      <c r="C11" s="20" t="s">
        <v>22</v>
      </c>
      <c r="D11" s="15">
        <v>30</v>
      </c>
      <c r="E11" s="139">
        <v>60</v>
      </c>
    </row>
    <row r="12" spans="2:5" ht="44.25" customHeight="1" x14ac:dyDescent="0.25">
      <c r="B12" s="14" t="s">
        <v>25</v>
      </c>
      <c r="C12" s="22" t="s">
        <v>26</v>
      </c>
      <c r="D12" s="15">
        <v>30</v>
      </c>
      <c r="E12" s="139"/>
    </row>
    <row r="13" spans="2:5" ht="36" x14ac:dyDescent="0.25">
      <c r="B13" s="14" t="s">
        <v>27</v>
      </c>
      <c r="C13" s="17" t="s">
        <v>19</v>
      </c>
      <c r="D13" s="15">
        <v>60</v>
      </c>
      <c r="E13" s="18">
        <v>60</v>
      </c>
    </row>
    <row r="14" spans="2:5" ht="36" x14ac:dyDescent="0.25">
      <c r="B14" s="14" t="s">
        <v>28</v>
      </c>
      <c r="C14" s="20" t="s">
        <v>22</v>
      </c>
      <c r="D14" s="15">
        <v>26</v>
      </c>
      <c r="E14" s="139">
        <v>90</v>
      </c>
    </row>
    <row r="15" spans="2:5" ht="45.75" customHeight="1" x14ac:dyDescent="0.25">
      <c r="B15" s="14" t="s">
        <v>28</v>
      </c>
      <c r="C15" s="22" t="s">
        <v>26</v>
      </c>
      <c r="D15" s="15">
        <v>34</v>
      </c>
      <c r="E15" s="139"/>
    </row>
    <row r="16" spans="2:5" ht="36" x14ac:dyDescent="0.25">
      <c r="B16" s="14" t="s">
        <v>28</v>
      </c>
      <c r="C16" s="17" t="s">
        <v>19</v>
      </c>
      <c r="D16" s="15">
        <v>30</v>
      </c>
      <c r="E16" s="139"/>
    </row>
    <row r="17" spans="2:5" ht="36" x14ac:dyDescent="0.25">
      <c r="B17" s="14" t="s">
        <v>8</v>
      </c>
      <c r="C17" s="17" t="s">
        <v>19</v>
      </c>
      <c r="D17" s="15">
        <v>200</v>
      </c>
      <c r="E17" s="135">
        <v>600</v>
      </c>
    </row>
    <row r="18" spans="2:5" ht="36" x14ac:dyDescent="0.25">
      <c r="B18" s="14" t="s">
        <v>8</v>
      </c>
      <c r="C18" s="19" t="s">
        <v>20</v>
      </c>
      <c r="D18" s="15">
        <v>200</v>
      </c>
      <c r="E18" s="138"/>
    </row>
    <row r="19" spans="2:5" ht="50.25" customHeight="1" x14ac:dyDescent="0.25">
      <c r="B19" s="14" t="s">
        <v>8</v>
      </c>
      <c r="C19" s="22" t="s">
        <v>29</v>
      </c>
      <c r="D19" s="15">
        <v>100</v>
      </c>
      <c r="E19" s="138"/>
    </row>
    <row r="20" spans="2:5" ht="36" customHeight="1" x14ac:dyDescent="0.25">
      <c r="B20" s="14" t="s">
        <v>8</v>
      </c>
      <c r="C20" s="22" t="s">
        <v>26</v>
      </c>
      <c r="D20" s="15">
        <v>100</v>
      </c>
      <c r="E20" s="138"/>
    </row>
    <row r="21" spans="2:5" ht="36" x14ac:dyDescent="0.25">
      <c r="B21" s="14" t="s">
        <v>30</v>
      </c>
      <c r="C21" s="20" t="s">
        <v>22</v>
      </c>
      <c r="D21" s="15">
        <v>60</v>
      </c>
      <c r="E21" s="18">
        <v>60</v>
      </c>
    </row>
    <row r="22" spans="2:5" ht="36" x14ac:dyDescent="0.25">
      <c r="B22" s="14" t="s">
        <v>31</v>
      </c>
      <c r="C22" s="20" t="s">
        <v>22</v>
      </c>
      <c r="D22" s="15">
        <v>60</v>
      </c>
      <c r="E22" s="135">
        <v>80</v>
      </c>
    </row>
    <row r="23" spans="2:5" ht="33" customHeight="1" x14ac:dyDescent="0.25">
      <c r="B23" s="14" t="s">
        <v>31</v>
      </c>
      <c r="C23" s="21" t="s">
        <v>24</v>
      </c>
      <c r="D23" s="15">
        <v>20</v>
      </c>
      <c r="E23" s="136"/>
    </row>
    <row r="24" spans="2:5" ht="36" x14ac:dyDescent="0.25">
      <c r="B24" s="14" t="s">
        <v>32</v>
      </c>
      <c r="C24" s="20" t="s">
        <v>22</v>
      </c>
      <c r="D24" s="15">
        <v>60</v>
      </c>
      <c r="E24" s="18">
        <v>60</v>
      </c>
    </row>
    <row r="25" spans="2:5" ht="36" x14ac:dyDescent="0.25">
      <c r="B25" s="14" t="s">
        <v>33</v>
      </c>
      <c r="C25" s="20" t="s">
        <v>22</v>
      </c>
      <c r="D25" s="15">
        <v>30</v>
      </c>
      <c r="E25" s="135">
        <v>90</v>
      </c>
    </row>
    <row r="26" spans="2:5" ht="37.5" customHeight="1" x14ac:dyDescent="0.25">
      <c r="B26" s="14" t="s">
        <v>33</v>
      </c>
      <c r="C26" s="22" t="s">
        <v>26</v>
      </c>
      <c r="D26" s="15">
        <v>60</v>
      </c>
      <c r="E26" s="136"/>
    </row>
    <row r="27" spans="2:5" ht="27.75" customHeight="1" x14ac:dyDescent="0.25">
      <c r="B27" s="14" t="s">
        <v>34</v>
      </c>
      <c r="C27" s="21" t="s">
        <v>24</v>
      </c>
      <c r="D27" s="15">
        <v>26</v>
      </c>
      <c r="E27" s="18">
        <v>26</v>
      </c>
    </row>
    <row r="28" spans="2:5" ht="36" x14ac:dyDescent="0.25">
      <c r="B28" s="14" t="s">
        <v>35</v>
      </c>
      <c r="C28" s="20" t="s">
        <v>22</v>
      </c>
      <c r="D28" s="15">
        <v>30</v>
      </c>
      <c r="E28" s="135">
        <v>54</v>
      </c>
    </row>
    <row r="29" spans="2:5" ht="40.5" customHeight="1" x14ac:dyDescent="0.25">
      <c r="B29" s="14" t="s">
        <v>35</v>
      </c>
      <c r="C29" s="21" t="s">
        <v>24</v>
      </c>
      <c r="D29" s="15">
        <v>24</v>
      </c>
      <c r="E29" s="136"/>
    </row>
    <row r="30" spans="2:5" ht="41.25" customHeight="1" x14ac:dyDescent="0.25">
      <c r="B30" s="14" t="s">
        <v>36</v>
      </c>
      <c r="C30" s="22" t="s">
        <v>26</v>
      </c>
      <c r="D30" s="15">
        <v>60</v>
      </c>
      <c r="E30" s="18">
        <v>60</v>
      </c>
    </row>
    <row r="31" spans="2:5" ht="36" x14ac:dyDescent="0.25">
      <c r="B31" s="14" t="s">
        <v>37</v>
      </c>
      <c r="C31" s="17" t="s">
        <v>19</v>
      </c>
      <c r="D31" s="15">
        <v>140</v>
      </c>
      <c r="E31" s="135">
        <v>260</v>
      </c>
    </row>
    <row r="32" spans="2:5" ht="36" x14ac:dyDescent="0.25">
      <c r="B32" s="14" t="s">
        <v>37</v>
      </c>
      <c r="C32" s="20" t="s">
        <v>22</v>
      </c>
      <c r="D32" s="15">
        <v>90</v>
      </c>
      <c r="E32" s="138"/>
    </row>
    <row r="33" spans="2:5" ht="36.75" customHeight="1" x14ac:dyDescent="0.25">
      <c r="B33" s="14" t="s">
        <v>37</v>
      </c>
      <c r="C33" s="21" t="s">
        <v>24</v>
      </c>
      <c r="D33" s="15">
        <v>30</v>
      </c>
      <c r="E33" s="136"/>
    </row>
    <row r="34" spans="2:5" ht="36" x14ac:dyDescent="0.25">
      <c r="B34" s="14" t="s">
        <v>38</v>
      </c>
      <c r="C34" s="20" t="s">
        <v>22</v>
      </c>
      <c r="D34" s="15">
        <v>60</v>
      </c>
      <c r="E34" s="135">
        <v>110</v>
      </c>
    </row>
    <row r="35" spans="2:5" ht="46.5" customHeight="1" x14ac:dyDescent="0.25">
      <c r="B35" s="14" t="s">
        <v>38</v>
      </c>
      <c r="C35" s="22" t="s">
        <v>26</v>
      </c>
      <c r="D35" s="15">
        <v>50</v>
      </c>
      <c r="E35" s="136"/>
    </row>
    <row r="36" spans="2:5" ht="36" x14ac:dyDescent="0.25">
      <c r="B36" s="14" t="s">
        <v>39</v>
      </c>
      <c r="C36" s="20" t="s">
        <v>22</v>
      </c>
      <c r="D36" s="15">
        <v>30</v>
      </c>
      <c r="E36" s="135">
        <v>60</v>
      </c>
    </row>
    <row r="37" spans="2:5" ht="37.5" customHeight="1" x14ac:dyDescent="0.25">
      <c r="B37" s="14" t="s">
        <v>39</v>
      </c>
      <c r="C37" s="22" t="s">
        <v>26</v>
      </c>
      <c r="D37" s="15">
        <v>30</v>
      </c>
      <c r="E37" s="136"/>
    </row>
    <row r="38" spans="2:5" ht="36" x14ac:dyDescent="0.25">
      <c r="B38" s="14" t="s">
        <v>40</v>
      </c>
      <c r="C38" s="20" t="s">
        <v>22</v>
      </c>
      <c r="D38" s="15">
        <v>30</v>
      </c>
      <c r="E38" s="135">
        <v>90</v>
      </c>
    </row>
    <row r="39" spans="2:5" ht="48" customHeight="1" x14ac:dyDescent="0.25">
      <c r="B39" s="14" t="s">
        <v>40</v>
      </c>
      <c r="C39" s="22" t="s">
        <v>26</v>
      </c>
      <c r="D39" s="15">
        <v>60</v>
      </c>
      <c r="E39" s="136"/>
    </row>
    <row r="40" spans="2:5" ht="36" x14ac:dyDescent="0.25">
      <c r="B40" s="14" t="s">
        <v>41</v>
      </c>
      <c r="C40" s="20" t="s">
        <v>22</v>
      </c>
      <c r="D40" s="15">
        <v>60</v>
      </c>
      <c r="E40" s="135">
        <v>90</v>
      </c>
    </row>
    <row r="41" spans="2:5" ht="33.75" customHeight="1" x14ac:dyDescent="0.25">
      <c r="B41" s="14" t="s">
        <v>41</v>
      </c>
      <c r="C41" s="21" t="s">
        <v>24</v>
      </c>
      <c r="D41" s="15">
        <v>30</v>
      </c>
      <c r="E41" s="136"/>
    </row>
    <row r="42" spans="2:5" ht="36" x14ac:dyDescent="0.25">
      <c r="B42" s="14" t="s">
        <v>42</v>
      </c>
      <c r="C42" s="20" t="s">
        <v>22</v>
      </c>
      <c r="D42" s="15">
        <v>60</v>
      </c>
      <c r="E42" s="135">
        <v>80</v>
      </c>
    </row>
    <row r="43" spans="2:5" ht="44.25" customHeight="1" x14ac:dyDescent="0.25">
      <c r="B43" s="14" t="s">
        <v>42</v>
      </c>
      <c r="C43" s="22" t="s">
        <v>26</v>
      </c>
      <c r="D43" s="15">
        <v>20</v>
      </c>
      <c r="E43" s="136"/>
    </row>
    <row r="44" spans="2:5" ht="36" x14ac:dyDescent="0.25">
      <c r="B44" s="14" t="s">
        <v>43</v>
      </c>
      <c r="C44" s="17" t="s">
        <v>19</v>
      </c>
      <c r="D44" s="15">
        <v>20</v>
      </c>
      <c r="E44" s="135">
        <v>80</v>
      </c>
    </row>
    <row r="45" spans="2:5" ht="36" x14ac:dyDescent="0.25">
      <c r="B45" s="14" t="s">
        <v>43</v>
      </c>
      <c r="C45" s="20" t="s">
        <v>22</v>
      </c>
      <c r="D45" s="15">
        <v>30</v>
      </c>
      <c r="E45" s="138"/>
    </row>
    <row r="46" spans="2:5" ht="39" customHeight="1" x14ac:dyDescent="0.25">
      <c r="B46" s="14" t="s">
        <v>43</v>
      </c>
      <c r="C46" s="22" t="s">
        <v>26</v>
      </c>
      <c r="D46" s="15">
        <v>30</v>
      </c>
      <c r="E46" s="136"/>
    </row>
    <row r="47" spans="2:5" ht="36" x14ac:dyDescent="0.25">
      <c r="B47" s="14" t="s">
        <v>10</v>
      </c>
      <c r="C47" s="20" t="s">
        <v>22</v>
      </c>
      <c r="D47" s="15">
        <v>25</v>
      </c>
      <c r="E47" s="135">
        <v>85</v>
      </c>
    </row>
    <row r="48" spans="2:5" ht="40.5" customHeight="1" x14ac:dyDescent="0.25">
      <c r="B48" s="14" t="s">
        <v>10</v>
      </c>
      <c r="C48" s="22" t="s">
        <v>26</v>
      </c>
      <c r="D48" s="15">
        <v>60</v>
      </c>
      <c r="E48" s="136"/>
    </row>
    <row r="49" spans="2:5" ht="36" x14ac:dyDescent="0.25">
      <c r="B49" s="24" t="s">
        <v>44</v>
      </c>
      <c r="C49" s="17" t="s">
        <v>19</v>
      </c>
      <c r="D49" s="15">
        <v>200</v>
      </c>
      <c r="E49" s="135">
        <v>255</v>
      </c>
    </row>
    <row r="50" spans="2:5" ht="36" x14ac:dyDescent="0.25">
      <c r="B50" s="24" t="s">
        <v>44</v>
      </c>
      <c r="C50" s="20" t="s">
        <v>22</v>
      </c>
      <c r="D50" s="15">
        <v>30</v>
      </c>
      <c r="E50" s="138"/>
    </row>
    <row r="51" spans="2:5" ht="34.5" customHeight="1" x14ac:dyDescent="0.25">
      <c r="B51" s="24" t="s">
        <v>44</v>
      </c>
      <c r="C51" s="21" t="s">
        <v>24</v>
      </c>
      <c r="D51" s="15">
        <v>25</v>
      </c>
      <c r="E51" s="136"/>
    </row>
    <row r="52" spans="2:5" ht="36" x14ac:dyDescent="0.25">
      <c r="B52" s="24" t="s">
        <v>45</v>
      </c>
      <c r="C52" s="20" t="s">
        <v>22</v>
      </c>
      <c r="D52" s="15">
        <v>30</v>
      </c>
      <c r="E52" s="135">
        <v>60</v>
      </c>
    </row>
    <row r="53" spans="2:5" ht="35.25" customHeight="1" x14ac:dyDescent="0.25">
      <c r="B53" s="24" t="s">
        <v>45</v>
      </c>
      <c r="C53" s="22" t="s">
        <v>26</v>
      </c>
      <c r="D53" s="15">
        <v>30</v>
      </c>
      <c r="E53" s="136"/>
    </row>
    <row r="54" spans="2:5" ht="36" x14ac:dyDescent="0.25">
      <c r="B54" s="24" t="s">
        <v>46</v>
      </c>
      <c r="C54" s="20" t="s">
        <v>22</v>
      </c>
      <c r="D54" s="15">
        <v>30</v>
      </c>
      <c r="E54" s="135">
        <v>60</v>
      </c>
    </row>
    <row r="55" spans="2:5" ht="36" customHeight="1" x14ac:dyDescent="0.25">
      <c r="B55" s="24" t="s">
        <v>46</v>
      </c>
      <c r="C55" s="21" t="s">
        <v>24</v>
      </c>
      <c r="D55" s="15">
        <v>30</v>
      </c>
      <c r="E55" s="136"/>
    </row>
    <row r="56" spans="2:5" ht="41.25" customHeight="1" x14ac:dyDescent="0.25">
      <c r="B56" s="24" t="s">
        <v>47</v>
      </c>
      <c r="C56" s="21" t="s">
        <v>24</v>
      </c>
      <c r="D56" s="15">
        <v>30</v>
      </c>
      <c r="E56" s="135">
        <v>90</v>
      </c>
    </row>
    <row r="57" spans="2:5" ht="39" customHeight="1" x14ac:dyDescent="0.25">
      <c r="B57" s="24" t="s">
        <v>47</v>
      </c>
      <c r="C57" s="22" t="s">
        <v>26</v>
      </c>
      <c r="D57" s="15">
        <v>60</v>
      </c>
      <c r="E57" s="136"/>
    </row>
    <row r="58" spans="2:5" ht="36" x14ac:dyDescent="0.25">
      <c r="B58" s="24" t="s">
        <v>48</v>
      </c>
      <c r="C58" s="20" t="s">
        <v>22</v>
      </c>
      <c r="D58" s="15">
        <v>30</v>
      </c>
      <c r="E58" s="135">
        <v>105</v>
      </c>
    </row>
    <row r="59" spans="2:5" ht="35.25" customHeight="1" x14ac:dyDescent="0.25">
      <c r="B59" s="24" t="s">
        <v>48</v>
      </c>
      <c r="C59" s="21" t="s">
        <v>24</v>
      </c>
      <c r="D59" s="15">
        <v>25</v>
      </c>
      <c r="E59" s="138"/>
    </row>
    <row r="60" spans="2:5" ht="36" customHeight="1" x14ac:dyDescent="0.25">
      <c r="B60" s="24" t="s">
        <v>48</v>
      </c>
      <c r="C60" s="22" t="s">
        <v>26</v>
      </c>
      <c r="D60" s="15">
        <v>50</v>
      </c>
      <c r="E60" s="136"/>
    </row>
    <row r="61" spans="2:5" ht="36" x14ac:dyDescent="0.25">
      <c r="B61" s="24" t="s">
        <v>49</v>
      </c>
      <c r="C61" s="20" t="s">
        <v>22</v>
      </c>
      <c r="D61" s="15">
        <v>30</v>
      </c>
      <c r="E61" s="135">
        <v>120</v>
      </c>
    </row>
    <row r="62" spans="2:5" ht="42.75" customHeight="1" x14ac:dyDescent="0.25">
      <c r="B62" s="24" t="s">
        <v>49</v>
      </c>
      <c r="C62" s="22" t="s">
        <v>26</v>
      </c>
      <c r="D62" s="15">
        <v>60</v>
      </c>
      <c r="E62" s="138"/>
    </row>
    <row r="63" spans="2:5" ht="41.25" customHeight="1" x14ac:dyDescent="0.25">
      <c r="B63" s="24" t="s">
        <v>49</v>
      </c>
      <c r="C63" s="22" t="s">
        <v>50</v>
      </c>
      <c r="D63" s="15">
        <v>30</v>
      </c>
      <c r="E63" s="136"/>
    </row>
    <row r="64" spans="2:5" ht="36" x14ac:dyDescent="0.25">
      <c r="B64" s="24" t="s">
        <v>11</v>
      </c>
      <c r="C64" s="20" t="s">
        <v>22</v>
      </c>
      <c r="D64" s="15">
        <v>30</v>
      </c>
      <c r="E64" s="135">
        <v>115</v>
      </c>
    </row>
    <row r="65" spans="2:5" ht="31.5" customHeight="1" x14ac:dyDescent="0.25">
      <c r="B65" s="24" t="s">
        <v>11</v>
      </c>
      <c r="C65" s="21" t="s">
        <v>24</v>
      </c>
      <c r="D65" s="15">
        <v>25</v>
      </c>
      <c r="E65" s="138"/>
    </row>
    <row r="66" spans="2:5" ht="36.75" customHeight="1" x14ac:dyDescent="0.25">
      <c r="B66" s="24" t="s">
        <v>11</v>
      </c>
      <c r="C66" s="22" t="s">
        <v>26</v>
      </c>
      <c r="D66" s="15">
        <v>60</v>
      </c>
      <c r="E66" s="136"/>
    </row>
    <row r="67" spans="2:5" ht="36" x14ac:dyDescent="0.25">
      <c r="B67" s="24" t="s">
        <v>51</v>
      </c>
      <c r="C67" s="20" t="s">
        <v>22</v>
      </c>
      <c r="D67" s="15">
        <v>90</v>
      </c>
      <c r="E67" s="23">
        <v>90</v>
      </c>
    </row>
    <row r="68" spans="2:5" ht="36" x14ac:dyDescent="0.25">
      <c r="B68" s="24" t="s">
        <v>52</v>
      </c>
      <c r="C68" s="20" t="s">
        <v>22</v>
      </c>
      <c r="D68" s="15">
        <v>60</v>
      </c>
      <c r="E68" s="135">
        <v>80</v>
      </c>
    </row>
    <row r="69" spans="2:5" ht="38.25" customHeight="1" x14ac:dyDescent="0.25">
      <c r="B69" s="24" t="s">
        <v>52</v>
      </c>
      <c r="C69" s="21" t="s">
        <v>24</v>
      </c>
      <c r="D69" s="15">
        <v>20</v>
      </c>
      <c r="E69" s="136"/>
    </row>
    <row r="70" spans="2:5" ht="36" x14ac:dyDescent="0.25">
      <c r="B70" s="24" t="s">
        <v>53</v>
      </c>
      <c r="C70" s="20" t="s">
        <v>22</v>
      </c>
      <c r="D70" s="15">
        <v>90</v>
      </c>
      <c r="E70" s="135">
        <v>290</v>
      </c>
    </row>
    <row r="71" spans="2:5" ht="33" customHeight="1" x14ac:dyDescent="0.25">
      <c r="B71" s="24" t="s">
        <v>53</v>
      </c>
      <c r="C71" s="21" t="s">
        <v>54</v>
      </c>
      <c r="D71" s="15">
        <v>200</v>
      </c>
      <c r="E71" s="136"/>
    </row>
    <row r="72" spans="2:5" ht="36" x14ac:dyDescent="0.25">
      <c r="B72" s="24" t="s">
        <v>55</v>
      </c>
      <c r="C72" s="20" t="s">
        <v>22</v>
      </c>
      <c r="D72" s="15">
        <v>60</v>
      </c>
      <c r="E72" s="23">
        <v>60</v>
      </c>
    </row>
    <row r="73" spans="2:5" ht="42.75" customHeight="1" x14ac:dyDescent="0.25">
      <c r="B73" s="24" t="s">
        <v>56</v>
      </c>
      <c r="C73" s="21" t="s">
        <v>24</v>
      </c>
      <c r="D73" s="15">
        <v>30</v>
      </c>
      <c r="E73" s="23">
        <v>30</v>
      </c>
    </row>
    <row r="74" spans="2:5" ht="38.25" customHeight="1" x14ac:dyDescent="0.25">
      <c r="B74" s="24" t="s">
        <v>57</v>
      </c>
      <c r="C74" s="21" t="s">
        <v>54</v>
      </c>
      <c r="D74" s="15">
        <v>200</v>
      </c>
      <c r="E74" s="23">
        <v>200</v>
      </c>
    </row>
    <row r="75" spans="2:5" ht="125.25" customHeight="1" x14ac:dyDescent="0.25">
      <c r="B75" s="137" t="s">
        <v>58</v>
      </c>
      <c r="C75" s="137"/>
      <c r="D75" s="137"/>
      <c r="E75" s="25"/>
    </row>
  </sheetData>
  <mergeCells count="27">
    <mergeCell ref="E17:E20"/>
    <mergeCell ref="B4:E4"/>
    <mergeCell ref="E6:E7"/>
    <mergeCell ref="E9:E10"/>
    <mergeCell ref="E11:E12"/>
    <mergeCell ref="E14:E16"/>
    <mergeCell ref="E49:E51"/>
    <mergeCell ref="E22:E23"/>
    <mergeCell ref="E25:E26"/>
    <mergeCell ref="E28:E29"/>
    <mergeCell ref="E31:E33"/>
    <mergeCell ref="E34:E35"/>
    <mergeCell ref="E36:E37"/>
    <mergeCell ref="E38:E39"/>
    <mergeCell ref="E40:E41"/>
    <mergeCell ref="E42:E43"/>
    <mergeCell ref="E44:E46"/>
    <mergeCell ref="E47:E48"/>
    <mergeCell ref="E68:E69"/>
    <mergeCell ref="E70:E71"/>
    <mergeCell ref="B75:D75"/>
    <mergeCell ref="E52:E53"/>
    <mergeCell ref="E54:E55"/>
    <mergeCell ref="E56:E57"/>
    <mergeCell ref="E58:E60"/>
    <mergeCell ref="E61:E63"/>
    <mergeCell ref="E64:E6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4"/>
  <sheetViews>
    <sheetView topLeftCell="A4" workbookViewId="0">
      <selection activeCell="F13" sqref="F13"/>
    </sheetView>
  </sheetViews>
  <sheetFormatPr defaultRowHeight="15" x14ac:dyDescent="0.25"/>
  <cols>
    <col min="2" max="2" width="18.7109375" customWidth="1"/>
    <col min="3" max="3" width="28.85546875" customWidth="1"/>
    <col min="4" max="4" width="24" customWidth="1"/>
    <col min="5" max="5" width="22.5703125" customWidth="1"/>
    <col min="6" max="6" width="26.42578125" customWidth="1"/>
  </cols>
  <sheetData>
    <row r="1" spans="1:6" x14ac:dyDescent="0.25">
      <c r="A1" t="s">
        <v>59</v>
      </c>
    </row>
    <row r="3" spans="1:6" ht="15.75" thickBot="1" x14ac:dyDescent="0.3"/>
    <row r="4" spans="1:6" ht="75" customHeight="1" x14ac:dyDescent="0.25">
      <c r="B4" s="140" t="s">
        <v>60</v>
      </c>
      <c r="C4" s="141"/>
      <c r="D4" s="141"/>
      <c r="E4" s="141"/>
      <c r="F4" s="142"/>
    </row>
    <row r="5" spans="1:6" ht="32.25" thickBot="1" x14ac:dyDescent="0.3">
      <c r="B5" s="26" t="s">
        <v>2</v>
      </c>
      <c r="C5" s="27" t="s">
        <v>3</v>
      </c>
      <c r="D5" s="28" t="s">
        <v>4</v>
      </c>
      <c r="E5" s="11" t="s">
        <v>5</v>
      </c>
      <c r="F5" s="29" t="s">
        <v>6</v>
      </c>
    </row>
    <row r="6" spans="1:6" ht="28.5" x14ac:dyDescent="0.45">
      <c r="B6" s="6">
        <v>1</v>
      </c>
      <c r="C6" s="7" t="s">
        <v>61</v>
      </c>
      <c r="D6" s="8">
        <v>400</v>
      </c>
      <c r="E6" s="9">
        <v>92</v>
      </c>
      <c r="F6" s="10">
        <f>E6*D6</f>
        <v>36800</v>
      </c>
    </row>
    <row r="7" spans="1:6" ht="28.5" x14ac:dyDescent="0.45">
      <c r="B7" s="6">
        <v>2</v>
      </c>
      <c r="C7" s="7" t="s">
        <v>62</v>
      </c>
      <c r="D7" s="8">
        <v>600</v>
      </c>
      <c r="E7" s="9">
        <v>92</v>
      </c>
      <c r="F7" s="10">
        <f t="shared" ref="F7:F11" si="0">E7*D7</f>
        <v>55200</v>
      </c>
    </row>
    <row r="8" spans="1:6" ht="28.5" x14ac:dyDescent="0.45">
      <c r="B8" s="6">
        <v>3</v>
      </c>
      <c r="C8" s="7" t="s">
        <v>63</v>
      </c>
      <c r="D8" s="8">
        <v>1000</v>
      </c>
      <c r="E8" s="9">
        <v>92</v>
      </c>
      <c r="F8" s="10">
        <f t="shared" si="0"/>
        <v>92000</v>
      </c>
    </row>
    <row r="9" spans="1:6" ht="28.5" x14ac:dyDescent="0.45">
      <c r="B9" s="6">
        <v>4</v>
      </c>
      <c r="C9" s="7" t="s">
        <v>64</v>
      </c>
      <c r="D9" s="8">
        <v>1000</v>
      </c>
      <c r="E9" s="9">
        <v>92</v>
      </c>
      <c r="F9" s="10">
        <f t="shared" si="0"/>
        <v>92000</v>
      </c>
    </row>
    <row r="10" spans="1:6" ht="28.5" x14ac:dyDescent="0.45">
      <c r="B10" s="6">
        <v>5</v>
      </c>
      <c r="C10" s="7" t="s">
        <v>65</v>
      </c>
      <c r="D10" s="8">
        <v>1923</v>
      </c>
      <c r="E10" s="9">
        <v>92</v>
      </c>
      <c r="F10" s="10">
        <f t="shared" si="0"/>
        <v>176916</v>
      </c>
    </row>
    <row r="11" spans="1:6" ht="28.5" x14ac:dyDescent="0.45">
      <c r="B11" s="6">
        <v>6</v>
      </c>
      <c r="C11" s="7" t="s">
        <v>85</v>
      </c>
      <c r="D11" s="8">
        <v>1600</v>
      </c>
      <c r="E11" s="9">
        <v>92</v>
      </c>
      <c r="F11" s="10">
        <f t="shared" si="0"/>
        <v>147200</v>
      </c>
    </row>
    <row r="12" spans="1:6" ht="28.5" x14ac:dyDescent="0.45">
      <c r="B12" s="6"/>
      <c r="C12" s="7"/>
      <c r="D12" s="10"/>
      <c r="E12" s="9"/>
      <c r="F12" s="10"/>
    </row>
    <row r="13" spans="1:6" ht="50.25" customHeight="1" x14ac:dyDescent="0.4">
      <c r="B13" s="143" t="s">
        <v>12</v>
      </c>
      <c r="C13" s="143"/>
      <c r="D13" s="12">
        <v>6523</v>
      </c>
      <c r="E13" s="58">
        <v>92</v>
      </c>
      <c r="F13" s="11">
        <f>E13*D13</f>
        <v>600116</v>
      </c>
    </row>
    <row r="14" spans="1:6" ht="65.25" customHeight="1" x14ac:dyDescent="0.25">
      <c r="B14" s="144" t="s">
        <v>13</v>
      </c>
      <c r="C14" s="145"/>
      <c r="D14" s="13"/>
      <c r="E14" s="13"/>
      <c r="F14" s="13"/>
    </row>
  </sheetData>
  <mergeCells count="3">
    <mergeCell ref="B4:F4"/>
    <mergeCell ref="B13:C13"/>
    <mergeCell ref="B14:C1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3:E69"/>
  <sheetViews>
    <sheetView topLeftCell="A25" workbookViewId="0">
      <selection activeCell="E49" sqref="E49:E51"/>
    </sheetView>
  </sheetViews>
  <sheetFormatPr defaultRowHeight="15" x14ac:dyDescent="0.25"/>
  <cols>
    <col min="2" max="2" width="26.28515625" customWidth="1"/>
    <col min="3" max="3" width="40.5703125" customWidth="1"/>
    <col min="4" max="4" width="26.28515625" customWidth="1"/>
    <col min="5" max="5" width="35.28515625" customWidth="1"/>
  </cols>
  <sheetData>
    <row r="3" spans="2:5" ht="15.75" thickBot="1" x14ac:dyDescent="0.3"/>
    <row r="4" spans="2:5" ht="84.75" customHeight="1" thickBot="1" x14ac:dyDescent="0.3">
      <c r="B4" s="125" t="s">
        <v>66</v>
      </c>
      <c r="C4" s="126"/>
      <c r="D4" s="126"/>
      <c r="E4" s="127"/>
    </row>
    <row r="5" spans="2:5" ht="30.75" x14ac:dyDescent="0.25">
      <c r="B5" s="14" t="s">
        <v>15</v>
      </c>
      <c r="C5" s="15" t="s">
        <v>16</v>
      </c>
      <c r="D5" s="15" t="s">
        <v>17</v>
      </c>
      <c r="E5" s="16" t="s">
        <v>18</v>
      </c>
    </row>
    <row r="6" spans="2:5" ht="36" x14ac:dyDescent="0.25">
      <c r="B6" s="149" t="s">
        <v>67</v>
      </c>
      <c r="C6" s="17" t="s">
        <v>19</v>
      </c>
      <c r="D6" s="15">
        <v>110</v>
      </c>
      <c r="E6" s="135">
        <v>360</v>
      </c>
    </row>
    <row r="7" spans="2:5" ht="36" x14ac:dyDescent="0.25">
      <c r="B7" s="151"/>
      <c r="C7" s="19" t="s">
        <v>20</v>
      </c>
      <c r="D7" s="15">
        <v>200</v>
      </c>
      <c r="E7" s="138"/>
    </row>
    <row r="8" spans="2:5" ht="35.25" x14ac:dyDescent="0.25">
      <c r="B8" s="150"/>
      <c r="C8" s="20" t="s">
        <v>26</v>
      </c>
      <c r="D8" s="15">
        <v>50</v>
      </c>
      <c r="E8" s="136"/>
    </row>
    <row r="9" spans="2:5" ht="35.25" x14ac:dyDescent="0.25">
      <c r="B9" s="149" t="s">
        <v>61</v>
      </c>
      <c r="C9" s="20" t="s">
        <v>26</v>
      </c>
      <c r="D9" s="15">
        <v>30</v>
      </c>
      <c r="E9" s="135">
        <v>230</v>
      </c>
    </row>
    <row r="10" spans="2:5" ht="36" x14ac:dyDescent="0.25">
      <c r="B10" s="150"/>
      <c r="C10" s="19" t="s">
        <v>20</v>
      </c>
      <c r="D10" s="15">
        <v>200</v>
      </c>
      <c r="E10" s="136"/>
    </row>
    <row r="11" spans="2:5" ht="36" x14ac:dyDescent="0.25">
      <c r="B11" s="146" t="s">
        <v>68</v>
      </c>
      <c r="C11" s="17" t="s">
        <v>19</v>
      </c>
      <c r="D11" s="15">
        <v>110</v>
      </c>
      <c r="E11" s="135">
        <v>540</v>
      </c>
    </row>
    <row r="12" spans="2:5" ht="36" x14ac:dyDescent="0.25">
      <c r="B12" s="147"/>
      <c r="C12" s="19" t="s">
        <v>20</v>
      </c>
      <c r="D12" s="15">
        <v>400</v>
      </c>
      <c r="E12" s="138"/>
    </row>
    <row r="13" spans="2:5" ht="35.25" x14ac:dyDescent="0.25">
      <c r="B13" s="148"/>
      <c r="C13" s="20" t="s">
        <v>26</v>
      </c>
      <c r="D13" s="15">
        <v>30</v>
      </c>
      <c r="E13" s="136"/>
    </row>
    <row r="14" spans="2:5" ht="36" x14ac:dyDescent="0.25">
      <c r="B14" s="146" t="s">
        <v>69</v>
      </c>
      <c r="C14" s="17" t="s">
        <v>19</v>
      </c>
      <c r="D14" s="15">
        <v>110</v>
      </c>
      <c r="E14" s="135">
        <v>205</v>
      </c>
    </row>
    <row r="15" spans="2:5" ht="36" x14ac:dyDescent="0.25">
      <c r="B15" s="147"/>
      <c r="C15" s="30" t="s">
        <v>70</v>
      </c>
      <c r="D15" s="15">
        <v>30</v>
      </c>
      <c r="E15" s="138"/>
    </row>
    <row r="16" spans="2:5" ht="35.25" x14ac:dyDescent="0.25">
      <c r="B16" s="147"/>
      <c r="C16" s="20" t="s">
        <v>26</v>
      </c>
      <c r="D16" s="15">
        <v>60</v>
      </c>
      <c r="E16" s="138"/>
    </row>
    <row r="17" spans="2:5" ht="35.25" x14ac:dyDescent="0.25">
      <c r="B17" s="148"/>
      <c r="C17" s="20" t="s">
        <v>71</v>
      </c>
      <c r="D17" s="15">
        <v>5</v>
      </c>
      <c r="E17" s="136"/>
    </row>
    <row r="18" spans="2:5" ht="36" x14ac:dyDescent="0.25">
      <c r="B18" s="146" t="s">
        <v>64</v>
      </c>
      <c r="C18" s="30" t="s">
        <v>70</v>
      </c>
      <c r="D18" s="15">
        <v>90</v>
      </c>
      <c r="E18" s="135">
        <v>350</v>
      </c>
    </row>
    <row r="19" spans="2:5" ht="36" x14ac:dyDescent="0.25">
      <c r="B19" s="147"/>
      <c r="C19" s="19" t="s">
        <v>20</v>
      </c>
      <c r="D19" s="15">
        <v>200</v>
      </c>
      <c r="E19" s="138"/>
    </row>
    <row r="20" spans="2:5" ht="35.25" x14ac:dyDescent="0.25">
      <c r="B20" s="148"/>
      <c r="C20" s="20" t="s">
        <v>26</v>
      </c>
      <c r="D20" s="15">
        <v>60</v>
      </c>
      <c r="E20" s="136"/>
    </row>
    <row r="21" spans="2:5" ht="36" x14ac:dyDescent="0.25">
      <c r="B21" s="146" t="s">
        <v>72</v>
      </c>
      <c r="C21" s="30" t="s">
        <v>70</v>
      </c>
      <c r="D21" s="15">
        <v>30</v>
      </c>
      <c r="E21" s="135">
        <v>105</v>
      </c>
    </row>
    <row r="22" spans="2:5" ht="35.25" x14ac:dyDescent="0.25">
      <c r="B22" s="147"/>
      <c r="C22" s="20" t="s">
        <v>26</v>
      </c>
      <c r="D22" s="15">
        <v>50</v>
      </c>
      <c r="E22" s="138"/>
    </row>
    <row r="23" spans="2:5" ht="36" x14ac:dyDescent="0.25">
      <c r="B23" s="148"/>
      <c r="C23" s="19" t="s">
        <v>73</v>
      </c>
      <c r="D23" s="15">
        <v>25</v>
      </c>
      <c r="E23" s="136"/>
    </row>
    <row r="24" spans="2:5" ht="36" x14ac:dyDescent="0.25">
      <c r="B24" s="146" t="s">
        <v>74</v>
      </c>
      <c r="C24" s="17" t="s">
        <v>19</v>
      </c>
      <c r="D24" s="15">
        <v>200</v>
      </c>
      <c r="E24" s="135">
        <v>310</v>
      </c>
    </row>
    <row r="25" spans="2:5" ht="36" x14ac:dyDescent="0.25">
      <c r="B25" s="147"/>
      <c r="C25" s="30" t="s">
        <v>70</v>
      </c>
      <c r="D25" s="15">
        <v>30</v>
      </c>
      <c r="E25" s="138"/>
    </row>
    <row r="26" spans="2:5" ht="35.25" x14ac:dyDescent="0.25">
      <c r="B26" s="148"/>
      <c r="C26" s="19" t="s">
        <v>26</v>
      </c>
      <c r="D26" s="15">
        <v>80</v>
      </c>
      <c r="E26" s="138"/>
    </row>
    <row r="27" spans="2:5" ht="36" x14ac:dyDescent="0.25">
      <c r="B27" s="146" t="s">
        <v>75</v>
      </c>
      <c r="C27" s="30" t="s">
        <v>70</v>
      </c>
      <c r="D27" s="15">
        <v>30</v>
      </c>
      <c r="E27" s="138">
        <v>60</v>
      </c>
    </row>
    <row r="28" spans="2:5" ht="35.25" x14ac:dyDescent="0.25">
      <c r="B28" s="148"/>
      <c r="C28" s="19" t="s">
        <v>26</v>
      </c>
      <c r="D28" s="15">
        <v>30</v>
      </c>
      <c r="E28" s="138"/>
    </row>
    <row r="29" spans="2:5" ht="36" x14ac:dyDescent="0.25">
      <c r="B29" s="24" t="s">
        <v>76</v>
      </c>
      <c r="C29" s="30" t="s">
        <v>77</v>
      </c>
      <c r="D29" s="15">
        <v>30</v>
      </c>
      <c r="E29" s="18">
        <v>30</v>
      </c>
    </row>
    <row r="30" spans="2:5" ht="36" x14ac:dyDescent="0.25">
      <c r="B30" s="146" t="s">
        <v>78</v>
      </c>
      <c r="C30" s="30" t="s">
        <v>70</v>
      </c>
      <c r="D30" s="15">
        <v>90</v>
      </c>
      <c r="E30" s="135">
        <v>490</v>
      </c>
    </row>
    <row r="31" spans="2:5" ht="36" x14ac:dyDescent="0.25">
      <c r="B31" s="148"/>
      <c r="C31" s="19" t="s">
        <v>20</v>
      </c>
      <c r="D31" s="15">
        <v>400</v>
      </c>
      <c r="E31" s="138"/>
    </row>
    <row r="32" spans="2:5" ht="36" x14ac:dyDescent="0.25">
      <c r="B32" s="146" t="s">
        <v>79</v>
      </c>
      <c r="C32" s="17" t="s">
        <v>19</v>
      </c>
      <c r="D32" s="15">
        <v>200</v>
      </c>
      <c r="E32" s="135">
        <v>260</v>
      </c>
    </row>
    <row r="33" spans="2:5" ht="36" x14ac:dyDescent="0.25">
      <c r="B33" s="148"/>
      <c r="C33" s="30" t="s">
        <v>70</v>
      </c>
      <c r="D33" s="15">
        <v>60</v>
      </c>
      <c r="E33" s="136"/>
    </row>
    <row r="34" spans="2:5" ht="36" x14ac:dyDescent="0.25">
      <c r="B34" s="146" t="s">
        <v>80</v>
      </c>
      <c r="C34" s="30" t="s">
        <v>70</v>
      </c>
      <c r="D34" s="15">
        <v>30</v>
      </c>
      <c r="E34" s="135">
        <v>400</v>
      </c>
    </row>
    <row r="35" spans="2:5" ht="36" x14ac:dyDescent="0.25">
      <c r="B35" s="147"/>
      <c r="C35" s="19" t="s">
        <v>20</v>
      </c>
      <c r="D35" s="15">
        <v>310</v>
      </c>
      <c r="E35" s="138"/>
    </row>
    <row r="36" spans="2:5" ht="35.25" x14ac:dyDescent="0.25">
      <c r="B36" s="147"/>
      <c r="C36" s="20" t="s">
        <v>29</v>
      </c>
      <c r="D36" s="15">
        <v>30</v>
      </c>
      <c r="E36" s="138"/>
    </row>
    <row r="37" spans="2:5" ht="35.25" x14ac:dyDescent="0.25">
      <c r="B37" s="148"/>
      <c r="C37" s="20" t="s">
        <v>26</v>
      </c>
      <c r="D37" s="15">
        <v>30</v>
      </c>
      <c r="E37" s="138"/>
    </row>
    <row r="38" spans="2:5" ht="35.25" x14ac:dyDescent="0.25">
      <c r="B38" s="24" t="s">
        <v>81</v>
      </c>
      <c r="C38" s="20" t="s">
        <v>26</v>
      </c>
      <c r="D38" s="15">
        <v>20</v>
      </c>
      <c r="E38" s="18">
        <v>20</v>
      </c>
    </row>
    <row r="39" spans="2:5" ht="36" x14ac:dyDescent="0.25">
      <c r="B39" s="146" t="s">
        <v>65</v>
      </c>
      <c r="C39" s="17" t="s">
        <v>19</v>
      </c>
      <c r="D39" s="15">
        <v>200</v>
      </c>
      <c r="E39" s="139">
        <v>923</v>
      </c>
    </row>
    <row r="40" spans="2:5" ht="36" x14ac:dyDescent="0.25">
      <c r="B40" s="147"/>
      <c r="C40" s="30" t="s">
        <v>70</v>
      </c>
      <c r="D40" s="15">
        <v>30</v>
      </c>
      <c r="E40" s="139"/>
    </row>
    <row r="41" spans="2:5" ht="36" x14ac:dyDescent="0.25">
      <c r="B41" s="147"/>
      <c r="C41" s="19" t="s">
        <v>20</v>
      </c>
      <c r="D41" s="15">
        <v>396</v>
      </c>
      <c r="E41" s="139"/>
    </row>
    <row r="42" spans="2:5" ht="35.25" x14ac:dyDescent="0.25">
      <c r="B42" s="147"/>
      <c r="C42" s="20" t="s">
        <v>29</v>
      </c>
      <c r="D42" s="15">
        <v>147</v>
      </c>
      <c r="E42" s="139"/>
    </row>
    <row r="43" spans="2:5" ht="35.25" x14ac:dyDescent="0.25">
      <c r="B43" s="148"/>
      <c r="C43" s="20" t="s">
        <v>26</v>
      </c>
      <c r="D43" s="15">
        <v>150</v>
      </c>
      <c r="E43" s="139"/>
    </row>
    <row r="44" spans="2:5" ht="36" x14ac:dyDescent="0.25">
      <c r="B44" s="146" t="s">
        <v>82</v>
      </c>
      <c r="C44" s="30" t="s">
        <v>70</v>
      </c>
      <c r="D44" s="15">
        <v>60</v>
      </c>
      <c r="E44" s="139">
        <v>90</v>
      </c>
    </row>
    <row r="45" spans="2:5" ht="36" x14ac:dyDescent="0.25">
      <c r="B45" s="148"/>
      <c r="C45" s="19" t="s">
        <v>73</v>
      </c>
      <c r="D45" s="15">
        <v>30</v>
      </c>
      <c r="E45" s="139"/>
    </row>
    <row r="46" spans="2:5" ht="36" x14ac:dyDescent="0.25">
      <c r="B46" s="24" t="s">
        <v>83</v>
      </c>
      <c r="C46" s="30" t="s">
        <v>70</v>
      </c>
      <c r="D46" s="15">
        <v>60</v>
      </c>
      <c r="E46" s="18">
        <v>60</v>
      </c>
    </row>
    <row r="47" spans="2:5" ht="36" x14ac:dyDescent="0.25">
      <c r="B47" s="146" t="s">
        <v>84</v>
      </c>
      <c r="C47" s="30" t="s">
        <v>70</v>
      </c>
      <c r="D47" s="15">
        <v>75</v>
      </c>
      <c r="E47" s="139">
        <v>275</v>
      </c>
    </row>
    <row r="48" spans="2:5" ht="36" x14ac:dyDescent="0.25">
      <c r="B48" s="148"/>
      <c r="C48" s="19" t="s">
        <v>20</v>
      </c>
      <c r="D48" s="15">
        <v>200</v>
      </c>
      <c r="E48" s="139"/>
    </row>
    <row r="49" spans="2:5" ht="36" x14ac:dyDescent="0.25">
      <c r="B49" s="146" t="s">
        <v>85</v>
      </c>
      <c r="C49" s="17" t="s">
        <v>19</v>
      </c>
      <c r="D49" s="15">
        <v>200</v>
      </c>
      <c r="E49" s="135">
        <v>430</v>
      </c>
    </row>
    <row r="50" spans="2:5" ht="36" x14ac:dyDescent="0.25">
      <c r="B50" s="147"/>
      <c r="C50" s="30" t="s">
        <v>70</v>
      </c>
      <c r="D50" s="15">
        <v>30</v>
      </c>
      <c r="E50" s="138"/>
    </row>
    <row r="51" spans="2:5" ht="36" x14ac:dyDescent="0.25">
      <c r="B51" s="148"/>
      <c r="C51" s="19" t="s">
        <v>20</v>
      </c>
      <c r="D51" s="15">
        <v>200</v>
      </c>
      <c r="E51" s="136"/>
    </row>
    <row r="52" spans="2:5" ht="36" x14ac:dyDescent="0.25">
      <c r="B52" s="146" t="s">
        <v>86</v>
      </c>
      <c r="C52" s="30" t="s">
        <v>70</v>
      </c>
      <c r="D52" s="15">
        <v>60</v>
      </c>
      <c r="E52" s="139">
        <v>460</v>
      </c>
    </row>
    <row r="53" spans="2:5" ht="36" x14ac:dyDescent="0.5">
      <c r="B53" s="148"/>
      <c r="C53" s="19" t="s">
        <v>20</v>
      </c>
      <c r="D53" s="31">
        <v>400</v>
      </c>
      <c r="E53" s="139"/>
    </row>
    <row r="54" spans="2:5" ht="36" x14ac:dyDescent="0.5">
      <c r="B54" s="158" t="s">
        <v>87</v>
      </c>
      <c r="C54" s="30" t="s">
        <v>70</v>
      </c>
      <c r="D54" s="31">
        <v>30</v>
      </c>
      <c r="E54" s="139">
        <v>140</v>
      </c>
    </row>
    <row r="55" spans="2:5" ht="36" customHeight="1" x14ac:dyDescent="0.5">
      <c r="B55" s="159"/>
      <c r="C55" s="20" t="s">
        <v>29</v>
      </c>
      <c r="D55" s="31">
        <v>50</v>
      </c>
      <c r="E55" s="139"/>
    </row>
    <row r="56" spans="2:5" ht="36" customHeight="1" x14ac:dyDescent="0.5">
      <c r="B56" s="160"/>
      <c r="C56" s="20" t="s">
        <v>26</v>
      </c>
      <c r="D56" s="31">
        <v>60</v>
      </c>
      <c r="E56" s="139"/>
    </row>
    <row r="57" spans="2:5" ht="36" x14ac:dyDescent="0.45">
      <c r="B57" s="33" t="s">
        <v>88</v>
      </c>
      <c r="C57" s="30" t="s">
        <v>70</v>
      </c>
      <c r="D57" s="34">
        <v>90</v>
      </c>
      <c r="E57" s="18">
        <v>90</v>
      </c>
    </row>
    <row r="58" spans="2:5" ht="36" x14ac:dyDescent="0.45">
      <c r="B58" s="33" t="s">
        <v>89</v>
      </c>
      <c r="C58" s="30" t="s">
        <v>70</v>
      </c>
      <c r="D58" s="34">
        <v>80</v>
      </c>
      <c r="E58" s="18">
        <v>80</v>
      </c>
    </row>
    <row r="59" spans="2:5" ht="36" x14ac:dyDescent="0.25">
      <c r="B59" s="146" t="s">
        <v>90</v>
      </c>
      <c r="C59" s="30" t="s">
        <v>70</v>
      </c>
      <c r="D59" s="15">
        <v>30</v>
      </c>
      <c r="E59" s="135">
        <v>150</v>
      </c>
    </row>
    <row r="60" spans="2:5" ht="35.25" x14ac:dyDescent="0.25">
      <c r="B60" s="147"/>
      <c r="C60" s="20" t="s">
        <v>29</v>
      </c>
      <c r="D60" s="15">
        <v>60</v>
      </c>
      <c r="E60" s="138"/>
    </row>
    <row r="61" spans="2:5" ht="35.25" x14ac:dyDescent="0.25">
      <c r="B61" s="148"/>
      <c r="C61" s="20" t="s">
        <v>26</v>
      </c>
      <c r="D61" s="15">
        <v>60</v>
      </c>
      <c r="E61" s="136"/>
    </row>
    <row r="62" spans="2:5" ht="36" x14ac:dyDescent="0.25">
      <c r="B62" s="146" t="s">
        <v>91</v>
      </c>
      <c r="C62" s="17" t="s">
        <v>19</v>
      </c>
      <c r="D62" s="15">
        <v>200</v>
      </c>
      <c r="E62" s="135">
        <v>345</v>
      </c>
    </row>
    <row r="63" spans="2:5" ht="36" x14ac:dyDescent="0.25">
      <c r="B63" s="147"/>
      <c r="C63" s="30" t="s">
        <v>70</v>
      </c>
      <c r="D63" s="15">
        <v>25</v>
      </c>
      <c r="E63" s="138"/>
    </row>
    <row r="64" spans="2:5" ht="35.25" x14ac:dyDescent="0.25">
      <c r="B64" s="147"/>
      <c r="C64" s="20" t="s">
        <v>29</v>
      </c>
      <c r="D64" s="15">
        <v>60</v>
      </c>
      <c r="E64" s="138"/>
    </row>
    <row r="65" spans="2:5" ht="35.25" x14ac:dyDescent="0.25">
      <c r="B65" s="148"/>
      <c r="C65" s="20" t="s">
        <v>26</v>
      </c>
      <c r="D65" s="15">
        <v>60</v>
      </c>
      <c r="E65" s="136"/>
    </row>
    <row r="66" spans="2:5" ht="36" x14ac:dyDescent="0.25">
      <c r="B66" s="24" t="s">
        <v>92</v>
      </c>
      <c r="C66" s="30" t="s">
        <v>70</v>
      </c>
      <c r="D66" s="15">
        <v>60</v>
      </c>
      <c r="E66" s="32">
        <v>60</v>
      </c>
    </row>
    <row r="67" spans="2:5" ht="36" thickBot="1" x14ac:dyDescent="0.3">
      <c r="B67" s="24"/>
      <c r="C67" s="30"/>
      <c r="D67" s="15"/>
      <c r="E67" s="32"/>
    </row>
    <row r="68" spans="2:5" ht="35.25" customHeight="1" x14ac:dyDescent="0.25">
      <c r="B68" s="152" t="s">
        <v>175</v>
      </c>
      <c r="C68" s="153"/>
      <c r="D68" s="153"/>
      <c r="E68" s="154"/>
    </row>
    <row r="69" spans="2:5" ht="157.5" customHeight="1" thickBot="1" x14ac:dyDescent="0.3">
      <c r="B69" s="155"/>
      <c r="C69" s="156"/>
      <c r="D69" s="156"/>
      <c r="E69" s="157"/>
    </row>
  </sheetData>
  <mergeCells count="40">
    <mergeCell ref="B68:E69"/>
    <mergeCell ref="B30:B31"/>
    <mergeCell ref="B27:B28"/>
    <mergeCell ref="B24:B26"/>
    <mergeCell ref="B21:B23"/>
    <mergeCell ref="B62:B65"/>
    <mergeCell ref="B59:B61"/>
    <mergeCell ref="B54:B56"/>
    <mergeCell ref="B52:B53"/>
    <mergeCell ref="B49:B51"/>
    <mergeCell ref="E34:E37"/>
    <mergeCell ref="E49:E51"/>
    <mergeCell ref="E52:E53"/>
    <mergeCell ref="E54:E56"/>
    <mergeCell ref="E59:E61"/>
    <mergeCell ref="E62:E65"/>
    <mergeCell ref="B18:B20"/>
    <mergeCell ref="B47:B48"/>
    <mergeCell ref="B44:B45"/>
    <mergeCell ref="B39:B43"/>
    <mergeCell ref="B34:B37"/>
    <mergeCell ref="B32:B33"/>
    <mergeCell ref="B4:E4"/>
    <mergeCell ref="E6:E8"/>
    <mergeCell ref="E9:E10"/>
    <mergeCell ref="E11:E13"/>
    <mergeCell ref="E14:E17"/>
    <mergeCell ref="B14:B17"/>
    <mergeCell ref="B11:B13"/>
    <mergeCell ref="B9:B10"/>
    <mergeCell ref="B6:B8"/>
    <mergeCell ref="E18:E20"/>
    <mergeCell ref="E47:E48"/>
    <mergeCell ref="E39:E43"/>
    <mergeCell ref="E44:E45"/>
    <mergeCell ref="E21:E23"/>
    <mergeCell ref="E24:E26"/>
    <mergeCell ref="E27:E28"/>
    <mergeCell ref="E30:E31"/>
    <mergeCell ref="E32:E3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39:F49"/>
  <sheetViews>
    <sheetView topLeftCell="A40" workbookViewId="0">
      <selection activeCell="C46" sqref="C46"/>
    </sheetView>
  </sheetViews>
  <sheetFormatPr defaultRowHeight="15" x14ac:dyDescent="0.25"/>
  <cols>
    <col min="2" max="2" width="19" customWidth="1"/>
    <col min="3" max="3" width="34.5703125" customWidth="1"/>
    <col min="4" max="4" width="30" customWidth="1"/>
    <col min="5" max="5" width="16.85546875" customWidth="1"/>
    <col min="6" max="6" width="55.85546875" customWidth="1"/>
  </cols>
  <sheetData>
    <row r="39" spans="2:6" ht="15.75" thickBot="1" x14ac:dyDescent="0.3"/>
    <row r="40" spans="2:6" ht="93" customHeight="1" x14ac:dyDescent="0.25">
      <c r="B40" s="140" t="s">
        <v>93</v>
      </c>
      <c r="C40" s="141"/>
      <c r="D40" s="141"/>
      <c r="E40" s="141"/>
      <c r="F40" s="142"/>
    </row>
    <row r="41" spans="2:6" ht="32.25" thickBot="1" x14ac:dyDescent="0.3">
      <c r="B41" s="26" t="s">
        <v>2</v>
      </c>
      <c r="C41" s="27" t="s">
        <v>3</v>
      </c>
      <c r="D41" s="28" t="s">
        <v>4</v>
      </c>
      <c r="E41" s="11" t="s">
        <v>5</v>
      </c>
      <c r="F41" s="29" t="s">
        <v>6</v>
      </c>
    </row>
    <row r="42" spans="2:6" ht="28.5" x14ac:dyDescent="0.45">
      <c r="B42" s="6">
        <v>1</v>
      </c>
      <c r="C42" s="7" t="s">
        <v>99</v>
      </c>
      <c r="D42" s="8">
        <v>2000</v>
      </c>
      <c r="E42" s="9">
        <v>92</v>
      </c>
      <c r="F42" s="10">
        <f>E42*D42</f>
        <v>184000</v>
      </c>
    </row>
    <row r="43" spans="2:6" ht="28.5" x14ac:dyDescent="0.45">
      <c r="B43" s="6">
        <v>2</v>
      </c>
      <c r="C43" s="7" t="s">
        <v>107</v>
      </c>
      <c r="D43" s="8">
        <v>2400</v>
      </c>
      <c r="E43" s="9">
        <v>92</v>
      </c>
      <c r="F43" s="10">
        <f t="shared" ref="F43:F46" si="0">E43*D43</f>
        <v>220800</v>
      </c>
    </row>
    <row r="44" spans="2:6" ht="28.5" x14ac:dyDescent="0.45">
      <c r="B44" s="6">
        <v>3</v>
      </c>
      <c r="C44" s="7" t="s">
        <v>114</v>
      </c>
      <c r="D44" s="8">
        <v>2400</v>
      </c>
      <c r="E44" s="9">
        <v>92</v>
      </c>
      <c r="F44" s="10">
        <f t="shared" si="0"/>
        <v>220800</v>
      </c>
    </row>
    <row r="45" spans="2:6" ht="28.5" x14ac:dyDescent="0.45">
      <c r="B45" s="6">
        <v>4</v>
      </c>
      <c r="C45" s="7" t="s">
        <v>120</v>
      </c>
      <c r="D45" s="8">
        <v>2400</v>
      </c>
      <c r="E45" s="9">
        <v>92</v>
      </c>
      <c r="F45" s="10">
        <f t="shared" si="0"/>
        <v>220800</v>
      </c>
    </row>
    <row r="46" spans="2:6" ht="28.5" x14ac:dyDescent="0.45">
      <c r="B46" s="6">
        <v>5</v>
      </c>
      <c r="C46" s="7" t="s">
        <v>128</v>
      </c>
      <c r="D46" s="8">
        <v>2400</v>
      </c>
      <c r="E46" s="9">
        <v>92</v>
      </c>
      <c r="F46" s="10">
        <f t="shared" si="0"/>
        <v>220800</v>
      </c>
    </row>
    <row r="47" spans="2:6" ht="28.5" x14ac:dyDescent="0.45">
      <c r="B47" s="6"/>
      <c r="C47" s="7"/>
      <c r="D47" s="10"/>
      <c r="E47" s="9"/>
      <c r="F47" s="10"/>
    </row>
    <row r="48" spans="2:6" ht="31.5" x14ac:dyDescent="0.5">
      <c r="B48" s="132" t="s">
        <v>12</v>
      </c>
      <c r="C48" s="132"/>
      <c r="D48" s="11">
        <v>11600</v>
      </c>
      <c r="E48" s="120">
        <v>92</v>
      </c>
      <c r="F48" s="121">
        <f>E48*D48</f>
        <v>1067200</v>
      </c>
    </row>
    <row r="49" spans="2:6" ht="23.25" x14ac:dyDescent="0.25">
      <c r="B49" s="161" t="s">
        <v>13</v>
      </c>
      <c r="C49" s="162"/>
      <c r="D49" s="13"/>
      <c r="E49" s="13"/>
      <c r="F49" s="13"/>
    </row>
  </sheetData>
  <mergeCells count="3">
    <mergeCell ref="B40:F40"/>
    <mergeCell ref="B48:C48"/>
    <mergeCell ref="B49:C49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C3:F116"/>
  <sheetViews>
    <sheetView topLeftCell="A22" workbookViewId="0">
      <selection activeCell="E13" sqref="E13:E107"/>
    </sheetView>
  </sheetViews>
  <sheetFormatPr defaultRowHeight="15" x14ac:dyDescent="0.25"/>
  <cols>
    <col min="3" max="3" width="27.85546875" customWidth="1"/>
    <col min="4" max="4" width="53.5703125" customWidth="1"/>
    <col min="5" max="5" width="24.7109375" customWidth="1"/>
    <col min="6" max="6" width="30" customWidth="1"/>
  </cols>
  <sheetData>
    <row r="3" spans="3:6" ht="15.75" thickBot="1" x14ac:dyDescent="0.3"/>
    <row r="4" spans="3:6" ht="93.75" customHeight="1" thickBot="1" x14ac:dyDescent="0.3">
      <c r="C4" s="125" t="s">
        <v>94</v>
      </c>
      <c r="D4" s="126"/>
      <c r="E4" s="126"/>
      <c r="F4" s="127"/>
    </row>
    <row r="5" spans="3:6" ht="30.75" x14ac:dyDescent="0.25">
      <c r="C5" s="14" t="s">
        <v>15</v>
      </c>
      <c r="D5" s="15" t="s">
        <v>16</v>
      </c>
      <c r="E5" s="15" t="s">
        <v>17</v>
      </c>
      <c r="F5" s="16" t="s">
        <v>18</v>
      </c>
    </row>
    <row r="6" spans="3:6" ht="36.75" customHeight="1" x14ac:dyDescent="0.25">
      <c r="C6" s="167" t="s">
        <v>95</v>
      </c>
      <c r="D6" s="30" t="s">
        <v>70</v>
      </c>
      <c r="E6" s="15">
        <v>60</v>
      </c>
      <c r="F6" s="139">
        <v>90</v>
      </c>
    </row>
    <row r="7" spans="3:6" ht="35.25" x14ac:dyDescent="0.25">
      <c r="C7" s="167"/>
      <c r="D7" s="20" t="s">
        <v>29</v>
      </c>
      <c r="E7" s="15">
        <v>30</v>
      </c>
      <c r="F7" s="139"/>
    </row>
    <row r="8" spans="3:6" ht="36" x14ac:dyDescent="0.25">
      <c r="C8" s="36" t="s">
        <v>96</v>
      </c>
      <c r="D8" s="30" t="s">
        <v>70</v>
      </c>
      <c r="E8" s="15">
        <v>30</v>
      </c>
      <c r="F8" s="23">
        <v>30</v>
      </c>
    </row>
    <row r="9" spans="3:6" ht="36" x14ac:dyDescent="0.25">
      <c r="C9" s="37" t="s">
        <v>97</v>
      </c>
      <c r="D9" s="19" t="s">
        <v>20</v>
      </c>
      <c r="E9" s="15">
        <v>200</v>
      </c>
      <c r="F9" s="35">
        <v>200</v>
      </c>
    </row>
    <row r="10" spans="3:6" ht="35.25" x14ac:dyDescent="0.25">
      <c r="C10" s="37" t="s">
        <v>98</v>
      </c>
      <c r="D10" s="20" t="s">
        <v>29</v>
      </c>
      <c r="E10" s="15">
        <v>50</v>
      </c>
      <c r="F10" s="139">
        <v>100</v>
      </c>
    </row>
    <row r="11" spans="3:6" ht="35.25" x14ac:dyDescent="0.25">
      <c r="C11" s="37" t="s">
        <v>98</v>
      </c>
      <c r="D11" s="20" t="s">
        <v>26</v>
      </c>
      <c r="E11" s="15">
        <v>50</v>
      </c>
      <c r="F11" s="139"/>
    </row>
    <row r="12" spans="3:6" ht="30.75" customHeight="1" x14ac:dyDescent="0.25">
      <c r="C12" s="37" t="s">
        <v>99</v>
      </c>
      <c r="D12" s="38" t="s">
        <v>100</v>
      </c>
      <c r="E12" s="15">
        <v>60</v>
      </c>
      <c r="F12" s="135">
        <v>1005</v>
      </c>
    </row>
    <row r="13" spans="3:6" ht="41.25" customHeight="1" x14ac:dyDescent="0.25">
      <c r="C13" s="37" t="s">
        <v>101</v>
      </c>
      <c r="D13" s="17" t="s">
        <v>19</v>
      </c>
      <c r="E13" s="15">
        <v>210</v>
      </c>
      <c r="F13" s="138"/>
    </row>
    <row r="14" spans="3:6" ht="48" customHeight="1" x14ac:dyDescent="0.25">
      <c r="C14" s="37" t="s">
        <v>101</v>
      </c>
      <c r="D14" s="30" t="s">
        <v>102</v>
      </c>
      <c r="E14" s="15">
        <v>60</v>
      </c>
      <c r="F14" s="138"/>
    </row>
    <row r="15" spans="3:6" ht="36" x14ac:dyDescent="0.25">
      <c r="C15" s="37" t="s">
        <v>101</v>
      </c>
      <c r="D15" s="19" t="s">
        <v>20</v>
      </c>
      <c r="E15" s="15">
        <v>400</v>
      </c>
      <c r="F15" s="138"/>
    </row>
    <row r="16" spans="3:6" ht="35.25" x14ac:dyDescent="0.25">
      <c r="C16" s="37" t="s">
        <v>101</v>
      </c>
      <c r="D16" s="20" t="s">
        <v>29</v>
      </c>
      <c r="E16" s="15">
        <v>120</v>
      </c>
      <c r="F16" s="138"/>
    </row>
    <row r="17" spans="3:6" ht="36" thickBot="1" x14ac:dyDescent="0.3">
      <c r="C17" s="37" t="s">
        <v>101</v>
      </c>
      <c r="D17" s="20" t="s">
        <v>26</v>
      </c>
      <c r="E17" s="15">
        <v>155</v>
      </c>
      <c r="F17" s="138"/>
    </row>
    <row r="18" spans="3:6" ht="63" customHeight="1" x14ac:dyDescent="0.25">
      <c r="C18" s="37" t="s">
        <v>103</v>
      </c>
      <c r="D18" s="38" t="s">
        <v>100</v>
      </c>
      <c r="E18" s="40">
        <v>60</v>
      </c>
      <c r="F18" s="163">
        <v>120</v>
      </c>
    </row>
    <row r="19" spans="3:6" ht="36.75" thickBot="1" x14ac:dyDescent="0.3">
      <c r="C19" s="37" t="s">
        <v>103</v>
      </c>
      <c r="D19" s="30" t="s">
        <v>102</v>
      </c>
      <c r="E19" s="40">
        <v>60</v>
      </c>
      <c r="F19" s="164"/>
    </row>
    <row r="20" spans="3:6" ht="71.25" x14ac:dyDescent="0.25">
      <c r="C20" s="37" t="s">
        <v>104</v>
      </c>
      <c r="D20" s="38" t="s">
        <v>100</v>
      </c>
      <c r="E20" s="40">
        <v>30</v>
      </c>
      <c r="F20" s="163">
        <v>290</v>
      </c>
    </row>
    <row r="21" spans="3:6" ht="36" x14ac:dyDescent="0.25">
      <c r="C21" s="37" t="s">
        <v>104</v>
      </c>
      <c r="D21" s="30" t="s">
        <v>102</v>
      </c>
      <c r="E21" s="40">
        <v>60</v>
      </c>
      <c r="F21" s="165"/>
    </row>
    <row r="22" spans="3:6" ht="36.75" thickBot="1" x14ac:dyDescent="0.3">
      <c r="C22" s="37" t="s">
        <v>104</v>
      </c>
      <c r="D22" s="19" t="s">
        <v>20</v>
      </c>
      <c r="E22" s="40">
        <v>200</v>
      </c>
      <c r="F22" s="164"/>
    </row>
    <row r="23" spans="3:6" ht="71.25" x14ac:dyDescent="0.25">
      <c r="C23" s="37" t="s">
        <v>105</v>
      </c>
      <c r="D23" s="38" t="s">
        <v>100</v>
      </c>
      <c r="E23" s="15">
        <v>90</v>
      </c>
      <c r="F23" s="166">
        <v>665</v>
      </c>
    </row>
    <row r="24" spans="3:6" ht="36" x14ac:dyDescent="0.25">
      <c r="C24" s="37" t="s">
        <v>105</v>
      </c>
      <c r="D24" s="17" t="s">
        <v>19</v>
      </c>
      <c r="E24" s="15">
        <v>175</v>
      </c>
      <c r="F24" s="138"/>
    </row>
    <row r="25" spans="3:6" ht="36" x14ac:dyDescent="0.25">
      <c r="C25" s="37" t="s">
        <v>105</v>
      </c>
      <c r="D25" s="30" t="s">
        <v>102</v>
      </c>
      <c r="E25" s="15">
        <v>60</v>
      </c>
      <c r="F25" s="138"/>
    </row>
    <row r="26" spans="3:6" ht="36" x14ac:dyDescent="0.25">
      <c r="C26" s="37" t="s">
        <v>105</v>
      </c>
      <c r="D26" s="19" t="s">
        <v>20</v>
      </c>
      <c r="E26" s="15">
        <v>200</v>
      </c>
      <c r="F26" s="138"/>
    </row>
    <row r="27" spans="3:6" ht="71.25" x14ac:dyDescent="0.25">
      <c r="C27" s="37" t="s">
        <v>105</v>
      </c>
      <c r="D27" s="38" t="s">
        <v>106</v>
      </c>
      <c r="E27" s="15">
        <v>20</v>
      </c>
      <c r="F27" s="138"/>
    </row>
    <row r="28" spans="3:6" ht="35.25" x14ac:dyDescent="0.25">
      <c r="C28" s="37" t="s">
        <v>105</v>
      </c>
      <c r="D28" s="20" t="s">
        <v>29</v>
      </c>
      <c r="E28" s="15">
        <v>60</v>
      </c>
      <c r="F28" s="138"/>
    </row>
    <row r="29" spans="3:6" ht="35.25" x14ac:dyDescent="0.25">
      <c r="C29" s="37" t="s">
        <v>105</v>
      </c>
      <c r="D29" s="20" t="s">
        <v>26</v>
      </c>
      <c r="E29" s="15">
        <v>60</v>
      </c>
      <c r="F29" s="138"/>
    </row>
    <row r="30" spans="3:6" ht="36" x14ac:dyDescent="0.25">
      <c r="C30" s="37" t="s">
        <v>108</v>
      </c>
      <c r="D30" s="30" t="s">
        <v>102</v>
      </c>
      <c r="E30" s="15">
        <v>40</v>
      </c>
      <c r="F30" s="138">
        <v>520</v>
      </c>
    </row>
    <row r="31" spans="3:6" ht="36" x14ac:dyDescent="0.25">
      <c r="C31" s="37" t="s">
        <v>108</v>
      </c>
      <c r="D31" s="19" t="s">
        <v>20</v>
      </c>
      <c r="E31" s="15">
        <v>360</v>
      </c>
      <c r="F31" s="138"/>
    </row>
    <row r="32" spans="3:6" ht="35.25" x14ac:dyDescent="0.25">
      <c r="C32" s="37" t="s">
        <v>108</v>
      </c>
      <c r="D32" s="20" t="s">
        <v>29</v>
      </c>
      <c r="E32" s="15">
        <v>60</v>
      </c>
      <c r="F32" s="138"/>
    </row>
    <row r="33" spans="3:6" ht="35.25" x14ac:dyDescent="0.25">
      <c r="C33" s="37" t="s">
        <v>108</v>
      </c>
      <c r="D33" s="20" t="s">
        <v>26</v>
      </c>
      <c r="E33" s="15">
        <v>60</v>
      </c>
      <c r="F33" s="138"/>
    </row>
    <row r="34" spans="3:6" ht="28.5" customHeight="1" x14ac:dyDescent="0.25">
      <c r="C34" s="37" t="s">
        <v>109</v>
      </c>
      <c r="D34" s="38" t="s">
        <v>100</v>
      </c>
      <c r="E34" s="15">
        <v>60</v>
      </c>
      <c r="F34" s="139">
        <v>375</v>
      </c>
    </row>
    <row r="35" spans="3:6" ht="36" x14ac:dyDescent="0.25">
      <c r="C35" s="37" t="s">
        <v>109</v>
      </c>
      <c r="D35" s="30" t="s">
        <v>102</v>
      </c>
      <c r="E35" s="15">
        <v>90</v>
      </c>
      <c r="F35" s="139"/>
    </row>
    <row r="36" spans="3:6" ht="36" x14ac:dyDescent="0.25">
      <c r="C36" s="37" t="s">
        <v>109</v>
      </c>
      <c r="D36" s="17" t="s">
        <v>110</v>
      </c>
      <c r="E36" s="15">
        <v>100</v>
      </c>
      <c r="F36" s="139"/>
    </row>
    <row r="37" spans="3:6" ht="35.25" x14ac:dyDescent="0.25">
      <c r="C37" s="37" t="s">
        <v>109</v>
      </c>
      <c r="D37" s="20" t="s">
        <v>29</v>
      </c>
      <c r="E37" s="15">
        <v>60</v>
      </c>
      <c r="F37" s="139"/>
    </row>
    <row r="38" spans="3:6" ht="35.25" x14ac:dyDescent="0.25">
      <c r="C38" s="37" t="s">
        <v>109</v>
      </c>
      <c r="D38" s="20" t="s">
        <v>26</v>
      </c>
      <c r="E38" s="15">
        <v>65</v>
      </c>
      <c r="F38" s="139"/>
    </row>
    <row r="39" spans="3:6" ht="30" customHeight="1" x14ac:dyDescent="0.55000000000000004">
      <c r="C39" s="37" t="s">
        <v>111</v>
      </c>
      <c r="D39" s="41" t="s">
        <v>100</v>
      </c>
      <c r="E39" s="15">
        <v>40</v>
      </c>
      <c r="F39" s="139">
        <v>150</v>
      </c>
    </row>
    <row r="40" spans="3:6" ht="36" x14ac:dyDescent="0.25">
      <c r="C40" s="37" t="s">
        <v>111</v>
      </c>
      <c r="D40" s="30" t="s">
        <v>102</v>
      </c>
      <c r="E40" s="15">
        <v>30</v>
      </c>
      <c r="F40" s="139"/>
    </row>
    <row r="41" spans="3:6" ht="35.25" x14ac:dyDescent="0.25">
      <c r="C41" s="37" t="s">
        <v>111</v>
      </c>
      <c r="D41" s="20" t="s">
        <v>29</v>
      </c>
      <c r="E41" s="15">
        <v>40</v>
      </c>
      <c r="F41" s="139"/>
    </row>
    <row r="42" spans="3:6" ht="35.25" x14ac:dyDescent="0.25">
      <c r="C42" s="37" t="s">
        <v>111</v>
      </c>
      <c r="D42" s="20" t="s">
        <v>26</v>
      </c>
      <c r="E42" s="15">
        <v>40</v>
      </c>
      <c r="F42" s="139"/>
    </row>
    <row r="43" spans="3:6" ht="36" x14ac:dyDescent="0.55000000000000004">
      <c r="C43" s="37" t="s">
        <v>112</v>
      </c>
      <c r="D43" s="41" t="s">
        <v>100</v>
      </c>
      <c r="E43" s="15">
        <v>60</v>
      </c>
      <c r="F43" s="139">
        <v>390</v>
      </c>
    </row>
    <row r="44" spans="3:6" ht="36" x14ac:dyDescent="0.25">
      <c r="C44" s="37" t="s">
        <v>112</v>
      </c>
      <c r="D44" s="17" t="s">
        <v>19</v>
      </c>
      <c r="E44" s="15">
        <v>100</v>
      </c>
      <c r="F44" s="139"/>
    </row>
    <row r="45" spans="3:6" ht="36" x14ac:dyDescent="0.25">
      <c r="C45" s="37" t="s">
        <v>112</v>
      </c>
      <c r="D45" s="30" t="s">
        <v>102</v>
      </c>
      <c r="E45" s="15">
        <v>90</v>
      </c>
      <c r="F45" s="139"/>
    </row>
    <row r="46" spans="3:6" ht="35.25" x14ac:dyDescent="0.25">
      <c r="C46" s="37" t="s">
        <v>112</v>
      </c>
      <c r="D46" s="20" t="s">
        <v>29</v>
      </c>
      <c r="E46" s="15">
        <v>70</v>
      </c>
      <c r="F46" s="139"/>
    </row>
    <row r="47" spans="3:6" ht="35.25" x14ac:dyDescent="0.25">
      <c r="C47" s="37" t="s">
        <v>112</v>
      </c>
      <c r="D47" s="20" t="s">
        <v>26</v>
      </c>
      <c r="E47" s="15">
        <v>70</v>
      </c>
      <c r="F47" s="139"/>
    </row>
    <row r="48" spans="3:6" ht="36" x14ac:dyDescent="0.55000000000000004">
      <c r="C48" s="37" t="s">
        <v>113</v>
      </c>
      <c r="D48" s="41" t="s">
        <v>100</v>
      </c>
      <c r="E48" s="15">
        <v>70</v>
      </c>
      <c r="F48" s="135">
        <v>290</v>
      </c>
    </row>
    <row r="49" spans="3:6" ht="36" x14ac:dyDescent="0.25">
      <c r="C49" s="37" t="s">
        <v>113</v>
      </c>
      <c r="D49" s="30" t="s">
        <v>102</v>
      </c>
      <c r="E49" s="15">
        <v>90</v>
      </c>
      <c r="F49" s="138"/>
    </row>
    <row r="50" spans="3:6" ht="35.25" x14ac:dyDescent="0.25">
      <c r="C50" s="37" t="s">
        <v>113</v>
      </c>
      <c r="D50" s="20" t="s">
        <v>29</v>
      </c>
      <c r="E50" s="15">
        <v>60</v>
      </c>
      <c r="F50" s="138"/>
    </row>
    <row r="51" spans="3:6" ht="35.25" x14ac:dyDescent="0.25">
      <c r="C51" s="37" t="s">
        <v>113</v>
      </c>
      <c r="D51" s="20" t="s">
        <v>26</v>
      </c>
      <c r="E51" s="15">
        <v>70</v>
      </c>
      <c r="F51" s="138"/>
    </row>
    <row r="52" spans="3:6" ht="36" x14ac:dyDescent="0.55000000000000004">
      <c r="C52" s="37" t="s">
        <v>114</v>
      </c>
      <c r="D52" s="41" t="s">
        <v>100</v>
      </c>
      <c r="E52" s="15">
        <v>60</v>
      </c>
      <c r="F52" s="139">
        <v>595</v>
      </c>
    </row>
    <row r="53" spans="3:6" ht="36" x14ac:dyDescent="0.25">
      <c r="C53" s="37" t="s">
        <v>114</v>
      </c>
      <c r="D53" s="30" t="s">
        <v>102</v>
      </c>
      <c r="E53" s="15">
        <v>60</v>
      </c>
      <c r="F53" s="139"/>
    </row>
    <row r="54" spans="3:6" ht="36" x14ac:dyDescent="0.25">
      <c r="C54" s="37" t="s">
        <v>114</v>
      </c>
      <c r="D54" s="17" t="s">
        <v>19</v>
      </c>
      <c r="E54" s="15">
        <v>100</v>
      </c>
      <c r="F54" s="139"/>
    </row>
    <row r="55" spans="3:6" ht="36" x14ac:dyDescent="0.25">
      <c r="C55" s="37" t="s">
        <v>114</v>
      </c>
      <c r="D55" s="19" t="s">
        <v>20</v>
      </c>
      <c r="E55" s="15">
        <v>235</v>
      </c>
      <c r="F55" s="139"/>
    </row>
    <row r="56" spans="3:6" ht="71.25" x14ac:dyDescent="0.25">
      <c r="C56" s="37" t="s">
        <v>114</v>
      </c>
      <c r="D56" s="38" t="s">
        <v>106</v>
      </c>
      <c r="E56" s="15">
        <v>20</v>
      </c>
      <c r="F56" s="139"/>
    </row>
    <row r="57" spans="3:6" ht="35.25" x14ac:dyDescent="0.25">
      <c r="C57" s="37" t="s">
        <v>114</v>
      </c>
      <c r="D57" s="20" t="s">
        <v>29</v>
      </c>
      <c r="E57" s="15">
        <v>60</v>
      </c>
      <c r="F57" s="139"/>
    </row>
    <row r="58" spans="3:6" ht="35.25" x14ac:dyDescent="0.25">
      <c r="C58" s="37" t="s">
        <v>114</v>
      </c>
      <c r="D58" s="20" t="s">
        <v>26</v>
      </c>
      <c r="E58" s="15">
        <v>60</v>
      </c>
      <c r="F58" s="139"/>
    </row>
    <row r="59" spans="3:6" ht="36" x14ac:dyDescent="0.55000000000000004">
      <c r="C59" s="37" t="s">
        <v>115</v>
      </c>
      <c r="D59" s="41" t="s">
        <v>100</v>
      </c>
      <c r="E59" s="15">
        <v>60</v>
      </c>
      <c r="F59" s="139">
        <v>190</v>
      </c>
    </row>
    <row r="60" spans="3:6" ht="35.25" x14ac:dyDescent="0.25">
      <c r="C60" s="37" t="s">
        <v>115</v>
      </c>
      <c r="D60" s="20" t="s">
        <v>29</v>
      </c>
      <c r="E60" s="15">
        <v>70</v>
      </c>
      <c r="F60" s="139"/>
    </row>
    <row r="61" spans="3:6" ht="36" thickBot="1" x14ac:dyDescent="0.3">
      <c r="C61" s="37" t="s">
        <v>115</v>
      </c>
      <c r="D61" s="20" t="s">
        <v>26</v>
      </c>
      <c r="E61" s="15">
        <v>60</v>
      </c>
      <c r="F61" s="135"/>
    </row>
    <row r="62" spans="3:6" ht="36" x14ac:dyDescent="0.55000000000000004">
      <c r="C62" s="37" t="s">
        <v>116</v>
      </c>
      <c r="D62" s="41" t="s">
        <v>100</v>
      </c>
      <c r="E62" s="40">
        <v>110</v>
      </c>
      <c r="F62" s="163">
        <v>840</v>
      </c>
    </row>
    <row r="63" spans="3:6" ht="36" x14ac:dyDescent="0.25">
      <c r="C63" s="37" t="s">
        <v>116</v>
      </c>
      <c r="D63" s="17" t="s">
        <v>19</v>
      </c>
      <c r="E63" s="40">
        <v>200</v>
      </c>
      <c r="F63" s="165"/>
    </row>
    <row r="64" spans="3:6" ht="36" x14ac:dyDescent="0.25">
      <c r="C64" s="37" t="s">
        <v>116</v>
      </c>
      <c r="D64" s="30" t="s">
        <v>102</v>
      </c>
      <c r="E64" s="40">
        <v>60</v>
      </c>
      <c r="F64" s="165"/>
    </row>
    <row r="65" spans="3:6" ht="36" x14ac:dyDescent="0.25">
      <c r="C65" s="37" t="s">
        <v>116</v>
      </c>
      <c r="D65" s="19" t="s">
        <v>20</v>
      </c>
      <c r="E65" s="40">
        <v>350</v>
      </c>
      <c r="F65" s="165"/>
    </row>
    <row r="66" spans="3:6" ht="35.25" x14ac:dyDescent="0.25">
      <c r="C66" s="37" t="s">
        <v>116</v>
      </c>
      <c r="D66" s="20" t="s">
        <v>29</v>
      </c>
      <c r="E66" s="40">
        <v>60</v>
      </c>
      <c r="F66" s="165"/>
    </row>
    <row r="67" spans="3:6" ht="35.25" x14ac:dyDescent="0.25">
      <c r="C67" s="37" t="s">
        <v>116</v>
      </c>
      <c r="D67" s="20" t="s">
        <v>26</v>
      </c>
      <c r="E67" s="40">
        <v>60</v>
      </c>
      <c r="F67" s="165"/>
    </row>
    <row r="68" spans="3:6" ht="36" x14ac:dyDescent="0.25">
      <c r="C68" s="37" t="s">
        <v>117</v>
      </c>
      <c r="D68" s="19" t="s">
        <v>20</v>
      </c>
      <c r="E68" s="15">
        <v>250</v>
      </c>
      <c r="F68" s="139">
        <v>310</v>
      </c>
    </row>
    <row r="69" spans="3:6" ht="35.25" x14ac:dyDescent="0.25">
      <c r="C69" s="37"/>
      <c r="D69" s="20" t="s">
        <v>26</v>
      </c>
      <c r="E69" s="15">
        <v>60</v>
      </c>
      <c r="F69" s="139"/>
    </row>
    <row r="70" spans="3:6" ht="36" x14ac:dyDescent="0.55000000000000004">
      <c r="C70" s="37" t="s">
        <v>118</v>
      </c>
      <c r="D70" s="41" t="s">
        <v>100</v>
      </c>
      <c r="E70" s="15">
        <v>60</v>
      </c>
      <c r="F70" s="139">
        <v>640</v>
      </c>
    </row>
    <row r="71" spans="3:6" ht="36" x14ac:dyDescent="0.25">
      <c r="C71" s="37"/>
      <c r="D71" s="17" t="s">
        <v>19</v>
      </c>
      <c r="E71" s="15">
        <v>200</v>
      </c>
      <c r="F71" s="139"/>
    </row>
    <row r="72" spans="3:6" ht="36" x14ac:dyDescent="0.25">
      <c r="C72" s="37"/>
      <c r="D72" s="19" t="s">
        <v>20</v>
      </c>
      <c r="E72" s="15">
        <v>300</v>
      </c>
      <c r="F72" s="139"/>
    </row>
    <row r="73" spans="3:6" ht="47.25" customHeight="1" x14ac:dyDescent="0.25">
      <c r="C73" s="37"/>
      <c r="D73" s="42" t="s">
        <v>119</v>
      </c>
      <c r="E73" s="15">
        <v>30</v>
      </c>
      <c r="F73" s="139"/>
    </row>
    <row r="74" spans="3:6" ht="35.25" x14ac:dyDescent="0.25">
      <c r="C74" s="37"/>
      <c r="D74" s="20" t="s">
        <v>26</v>
      </c>
      <c r="E74" s="15">
        <v>50</v>
      </c>
      <c r="F74" s="139"/>
    </row>
    <row r="75" spans="3:6" ht="36" x14ac:dyDescent="0.55000000000000004">
      <c r="C75" s="37" t="s">
        <v>120</v>
      </c>
      <c r="D75" s="41" t="s">
        <v>100</v>
      </c>
      <c r="E75" s="15">
        <v>50</v>
      </c>
      <c r="F75" s="139">
        <v>420</v>
      </c>
    </row>
    <row r="76" spans="3:6" ht="36" x14ac:dyDescent="0.25">
      <c r="C76" s="37"/>
      <c r="D76" s="30" t="s">
        <v>102</v>
      </c>
      <c r="E76" s="15">
        <v>70</v>
      </c>
      <c r="F76" s="139"/>
    </row>
    <row r="77" spans="3:6" ht="36" x14ac:dyDescent="0.25">
      <c r="C77" s="37"/>
      <c r="D77" s="19" t="s">
        <v>20</v>
      </c>
      <c r="E77" s="15">
        <v>260</v>
      </c>
      <c r="F77" s="139"/>
    </row>
    <row r="78" spans="3:6" ht="35.25" x14ac:dyDescent="0.25">
      <c r="C78" s="37"/>
      <c r="D78" s="20" t="s">
        <v>26</v>
      </c>
      <c r="E78" s="15">
        <v>40</v>
      </c>
      <c r="F78" s="139"/>
    </row>
    <row r="79" spans="3:6" ht="36" x14ac:dyDescent="0.55000000000000004">
      <c r="C79" s="37" t="s">
        <v>121</v>
      </c>
      <c r="D79" s="41" t="s">
        <v>100</v>
      </c>
      <c r="E79" s="15">
        <v>160</v>
      </c>
      <c r="F79" s="135">
        <v>792</v>
      </c>
    </row>
    <row r="80" spans="3:6" ht="36" x14ac:dyDescent="0.25">
      <c r="C80" s="37"/>
      <c r="D80" s="17" t="s">
        <v>19</v>
      </c>
      <c r="E80" s="15">
        <v>200</v>
      </c>
      <c r="F80" s="138"/>
    </row>
    <row r="81" spans="3:6" ht="36" x14ac:dyDescent="0.25">
      <c r="C81" s="37"/>
      <c r="D81" s="30" t="s">
        <v>102</v>
      </c>
      <c r="E81" s="15">
        <v>90</v>
      </c>
      <c r="F81" s="138"/>
    </row>
    <row r="82" spans="3:6" ht="36" x14ac:dyDescent="0.25">
      <c r="C82" s="37"/>
      <c r="D82" s="19" t="s">
        <v>20</v>
      </c>
      <c r="E82" s="15">
        <v>250</v>
      </c>
      <c r="F82" s="138"/>
    </row>
    <row r="83" spans="3:6" ht="35.25" x14ac:dyDescent="0.25">
      <c r="C83" s="37"/>
      <c r="D83" s="20" t="s">
        <v>26</v>
      </c>
      <c r="E83" s="15">
        <v>60</v>
      </c>
      <c r="F83" s="138"/>
    </row>
    <row r="84" spans="3:6" ht="35.25" x14ac:dyDescent="0.25">
      <c r="C84" s="37"/>
      <c r="D84" s="20" t="s">
        <v>125</v>
      </c>
      <c r="E84" s="15">
        <v>32</v>
      </c>
      <c r="F84" s="136"/>
    </row>
    <row r="85" spans="3:6" ht="36" x14ac:dyDescent="0.25">
      <c r="C85" s="37" t="s">
        <v>122</v>
      </c>
      <c r="D85" s="19" t="s">
        <v>20</v>
      </c>
      <c r="E85" s="15">
        <v>399</v>
      </c>
      <c r="F85" s="139">
        <v>459</v>
      </c>
    </row>
    <row r="86" spans="3:6" ht="35.25" x14ac:dyDescent="0.25">
      <c r="C86" s="37"/>
      <c r="D86" s="20" t="s">
        <v>26</v>
      </c>
      <c r="E86" s="15">
        <v>60</v>
      </c>
      <c r="F86" s="139"/>
    </row>
    <row r="87" spans="3:6" ht="36" x14ac:dyDescent="0.25">
      <c r="C87" s="37" t="s">
        <v>123</v>
      </c>
      <c r="D87" s="17" t="s">
        <v>19</v>
      </c>
      <c r="E87" s="15">
        <v>100</v>
      </c>
      <c r="F87" s="139">
        <v>310</v>
      </c>
    </row>
    <row r="88" spans="3:6" ht="36" x14ac:dyDescent="0.55000000000000004">
      <c r="C88" s="37"/>
      <c r="D88" s="41" t="s">
        <v>100</v>
      </c>
      <c r="E88" s="15">
        <v>90</v>
      </c>
      <c r="F88" s="139"/>
    </row>
    <row r="89" spans="3:6" ht="35.25" x14ac:dyDescent="0.25">
      <c r="C89" s="37"/>
      <c r="D89" s="20" t="s">
        <v>29</v>
      </c>
      <c r="E89" s="15">
        <v>60</v>
      </c>
      <c r="F89" s="139"/>
    </row>
    <row r="90" spans="3:6" ht="35.25" x14ac:dyDescent="0.25">
      <c r="C90" s="37"/>
      <c r="D90" s="20" t="s">
        <v>26</v>
      </c>
      <c r="E90" s="15">
        <v>60</v>
      </c>
      <c r="F90" s="139"/>
    </row>
    <row r="91" spans="3:6" ht="36" x14ac:dyDescent="0.55000000000000004">
      <c r="C91" s="37" t="s">
        <v>124</v>
      </c>
      <c r="D91" s="41" t="s">
        <v>100</v>
      </c>
      <c r="E91" s="15">
        <v>90</v>
      </c>
      <c r="F91" s="139">
        <v>187</v>
      </c>
    </row>
    <row r="92" spans="3:6" ht="36" x14ac:dyDescent="0.25">
      <c r="C92" s="37"/>
      <c r="D92" s="19" t="s">
        <v>73</v>
      </c>
      <c r="E92" s="15">
        <v>25</v>
      </c>
      <c r="F92" s="139"/>
    </row>
    <row r="93" spans="3:6" ht="35.25" x14ac:dyDescent="0.25">
      <c r="C93" s="37"/>
      <c r="D93" s="20" t="s">
        <v>26</v>
      </c>
      <c r="E93" s="15">
        <v>40</v>
      </c>
      <c r="F93" s="139"/>
    </row>
    <row r="94" spans="3:6" ht="35.25" x14ac:dyDescent="0.5">
      <c r="C94" s="37"/>
      <c r="D94" s="41" t="s">
        <v>125</v>
      </c>
      <c r="E94" s="15">
        <v>32</v>
      </c>
      <c r="F94" s="139"/>
    </row>
    <row r="95" spans="3:6" ht="36" x14ac:dyDescent="0.55000000000000004">
      <c r="C95" s="37" t="s">
        <v>126</v>
      </c>
      <c r="D95" s="41" t="s">
        <v>100</v>
      </c>
      <c r="E95" s="15">
        <v>70</v>
      </c>
      <c r="F95" s="139">
        <v>350</v>
      </c>
    </row>
    <row r="96" spans="3:6" ht="36" x14ac:dyDescent="0.25">
      <c r="C96" s="37"/>
      <c r="D96" s="17" t="s">
        <v>19</v>
      </c>
      <c r="E96" s="15">
        <v>150</v>
      </c>
      <c r="F96" s="139"/>
    </row>
    <row r="97" spans="3:6" ht="36" x14ac:dyDescent="0.25">
      <c r="C97" s="37"/>
      <c r="D97" s="30" t="s">
        <v>102</v>
      </c>
      <c r="E97" s="15">
        <v>70</v>
      </c>
      <c r="F97" s="139"/>
    </row>
    <row r="98" spans="3:6" ht="35.25" x14ac:dyDescent="0.25">
      <c r="C98" s="37"/>
      <c r="D98" s="20" t="s">
        <v>29</v>
      </c>
      <c r="E98" s="15">
        <v>60</v>
      </c>
      <c r="F98" s="139"/>
    </row>
    <row r="99" spans="3:6" ht="36" x14ac:dyDescent="0.25">
      <c r="C99" s="37" t="s">
        <v>127</v>
      </c>
      <c r="D99" s="19" t="s">
        <v>20</v>
      </c>
      <c r="E99" s="15">
        <v>200</v>
      </c>
      <c r="F99" s="139">
        <v>302</v>
      </c>
    </row>
    <row r="100" spans="3:6" ht="33.75" x14ac:dyDescent="0.25">
      <c r="C100" s="37"/>
      <c r="D100" s="42" t="s">
        <v>119</v>
      </c>
      <c r="E100" s="15">
        <v>12</v>
      </c>
      <c r="F100" s="139"/>
    </row>
    <row r="101" spans="3:6" ht="35.25" x14ac:dyDescent="0.25">
      <c r="C101" s="37"/>
      <c r="D101" s="20" t="s">
        <v>29</v>
      </c>
      <c r="E101" s="15">
        <v>40</v>
      </c>
      <c r="F101" s="139"/>
    </row>
    <row r="102" spans="3:6" ht="35.25" x14ac:dyDescent="0.25">
      <c r="C102" s="37"/>
      <c r="D102" s="20" t="s">
        <v>26</v>
      </c>
      <c r="E102" s="15">
        <v>50</v>
      </c>
      <c r="F102" s="139"/>
    </row>
    <row r="103" spans="3:6" ht="36" x14ac:dyDescent="0.55000000000000004">
      <c r="C103" s="37" t="s">
        <v>128</v>
      </c>
      <c r="D103" s="41" t="s">
        <v>100</v>
      </c>
      <c r="E103" s="15">
        <v>50</v>
      </c>
      <c r="F103" s="139">
        <v>150</v>
      </c>
    </row>
    <row r="104" spans="3:6" ht="36" x14ac:dyDescent="0.25">
      <c r="C104" s="37"/>
      <c r="D104" s="30" t="s">
        <v>102</v>
      </c>
      <c r="E104" s="15">
        <v>50</v>
      </c>
      <c r="F104" s="139"/>
    </row>
    <row r="105" spans="3:6" ht="35.25" x14ac:dyDescent="0.25">
      <c r="C105" s="37"/>
      <c r="D105" s="20" t="s">
        <v>29</v>
      </c>
      <c r="E105" s="15">
        <v>50</v>
      </c>
      <c r="F105" s="139"/>
    </row>
    <row r="106" spans="3:6" ht="36" x14ac:dyDescent="0.55000000000000004">
      <c r="C106" s="37" t="s">
        <v>129</v>
      </c>
      <c r="D106" s="41" t="s">
        <v>100</v>
      </c>
      <c r="E106" s="15">
        <v>80</v>
      </c>
      <c r="F106" s="139">
        <v>720</v>
      </c>
    </row>
    <row r="107" spans="3:6" ht="36" x14ac:dyDescent="0.25">
      <c r="C107" s="37"/>
      <c r="D107" s="17" t="s">
        <v>19</v>
      </c>
      <c r="E107" s="15">
        <v>200</v>
      </c>
      <c r="F107" s="139"/>
    </row>
    <row r="108" spans="3:6" ht="36" x14ac:dyDescent="0.25">
      <c r="C108" s="37"/>
      <c r="D108" s="30" t="s">
        <v>102</v>
      </c>
      <c r="E108" s="15">
        <v>80</v>
      </c>
      <c r="F108" s="139"/>
    </row>
    <row r="109" spans="3:6" ht="36" x14ac:dyDescent="0.25">
      <c r="C109" s="37"/>
      <c r="D109" s="19" t="s">
        <v>20</v>
      </c>
      <c r="E109" s="15">
        <v>300</v>
      </c>
      <c r="F109" s="139"/>
    </row>
    <row r="110" spans="3:6" ht="35.25" x14ac:dyDescent="0.25">
      <c r="C110" s="37"/>
      <c r="D110" s="20" t="s">
        <v>29</v>
      </c>
      <c r="E110" s="15">
        <v>60</v>
      </c>
      <c r="F110" s="139"/>
    </row>
    <row r="111" spans="3:6" ht="36" x14ac:dyDescent="0.55000000000000004">
      <c r="C111" s="37" t="s">
        <v>130</v>
      </c>
      <c r="D111" s="41" t="s">
        <v>100</v>
      </c>
      <c r="E111" s="15">
        <v>70</v>
      </c>
      <c r="F111" s="139">
        <v>210</v>
      </c>
    </row>
    <row r="112" spans="3:6" ht="36" x14ac:dyDescent="0.25">
      <c r="C112" s="37"/>
      <c r="D112" s="30" t="s">
        <v>102</v>
      </c>
      <c r="E112" s="15">
        <v>80</v>
      </c>
      <c r="F112" s="139"/>
    </row>
    <row r="113" spans="3:6" ht="35.25" x14ac:dyDescent="0.25">
      <c r="C113" s="37"/>
      <c r="D113" s="20" t="s">
        <v>29</v>
      </c>
      <c r="E113" s="15">
        <v>60</v>
      </c>
      <c r="F113" s="139"/>
    </row>
    <row r="114" spans="3:6" ht="36" thickBot="1" x14ac:dyDescent="0.3">
      <c r="C114" s="43"/>
      <c r="D114" s="20"/>
      <c r="E114" s="44"/>
      <c r="F114" s="39"/>
    </row>
    <row r="115" spans="3:6" ht="20.25" customHeight="1" x14ac:dyDescent="0.25">
      <c r="C115" s="152" t="s">
        <v>174</v>
      </c>
      <c r="D115" s="153"/>
      <c r="E115" s="153"/>
      <c r="F115" s="154"/>
    </row>
    <row r="116" spans="3:6" ht="162" customHeight="1" thickBot="1" x14ac:dyDescent="0.3">
      <c r="C116" s="155"/>
      <c r="D116" s="156"/>
      <c r="E116" s="156"/>
      <c r="F116" s="157"/>
    </row>
  </sheetData>
  <mergeCells count="29">
    <mergeCell ref="F52:F58"/>
    <mergeCell ref="F48:F51"/>
    <mergeCell ref="F85:F86"/>
    <mergeCell ref="F79:F84"/>
    <mergeCell ref="F103:F105"/>
    <mergeCell ref="F68:F69"/>
    <mergeCell ref="F70:F74"/>
    <mergeCell ref="F87:F90"/>
    <mergeCell ref="F62:F67"/>
    <mergeCell ref="F59:F61"/>
    <mergeCell ref="F99:F102"/>
    <mergeCell ref="F95:F98"/>
    <mergeCell ref="F91:F94"/>
    <mergeCell ref="F111:F113"/>
    <mergeCell ref="C115:F116"/>
    <mergeCell ref="C4:F4"/>
    <mergeCell ref="F10:F11"/>
    <mergeCell ref="F12:F17"/>
    <mergeCell ref="F34:F38"/>
    <mergeCell ref="F18:F19"/>
    <mergeCell ref="F20:F22"/>
    <mergeCell ref="F23:F29"/>
    <mergeCell ref="F30:F33"/>
    <mergeCell ref="F6:F7"/>
    <mergeCell ref="F43:F47"/>
    <mergeCell ref="F39:F42"/>
    <mergeCell ref="F75:F78"/>
    <mergeCell ref="F106:F110"/>
    <mergeCell ref="C6:C7"/>
  </mergeCells>
  <phoneticPr fontId="17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3:F13"/>
  <sheetViews>
    <sheetView topLeftCell="A4" workbookViewId="0">
      <selection activeCell="E12" sqref="E12"/>
    </sheetView>
  </sheetViews>
  <sheetFormatPr defaultRowHeight="15" x14ac:dyDescent="0.25"/>
  <cols>
    <col min="2" max="2" width="16.28515625" customWidth="1"/>
    <col min="3" max="3" width="29.7109375" customWidth="1"/>
    <col min="4" max="4" width="26.85546875" customWidth="1"/>
    <col min="5" max="5" width="20" customWidth="1"/>
    <col min="6" max="6" width="28.42578125" customWidth="1"/>
  </cols>
  <sheetData>
    <row r="3" spans="2:6" ht="15.75" thickBot="1" x14ac:dyDescent="0.3"/>
    <row r="4" spans="2:6" ht="80.25" customHeight="1" x14ac:dyDescent="0.25">
      <c r="B4" s="140" t="s">
        <v>131</v>
      </c>
      <c r="C4" s="141"/>
      <c r="D4" s="141"/>
      <c r="E4" s="141"/>
      <c r="F4" s="142"/>
    </row>
    <row r="5" spans="2:6" ht="32.25" thickBot="1" x14ac:dyDescent="0.3">
      <c r="B5" s="26" t="s">
        <v>2</v>
      </c>
      <c r="C5" s="27" t="s">
        <v>3</v>
      </c>
      <c r="D5" s="28" t="s">
        <v>4</v>
      </c>
      <c r="E5" s="11" t="s">
        <v>5</v>
      </c>
      <c r="F5" s="29" t="s">
        <v>6</v>
      </c>
    </row>
    <row r="6" spans="2:6" ht="28.5" x14ac:dyDescent="0.45">
      <c r="B6" s="6">
        <v>1</v>
      </c>
      <c r="C6" s="7" t="s">
        <v>135</v>
      </c>
      <c r="D6" s="8">
        <v>2400</v>
      </c>
      <c r="E6" s="9">
        <v>92</v>
      </c>
      <c r="F6" s="10">
        <f>E6*D6</f>
        <v>220800</v>
      </c>
    </row>
    <row r="7" spans="2:6" ht="28.5" x14ac:dyDescent="0.45">
      <c r="B7" s="6">
        <v>2</v>
      </c>
      <c r="C7" s="7" t="s">
        <v>141</v>
      </c>
      <c r="D7" s="8">
        <v>2400</v>
      </c>
      <c r="E7" s="9">
        <v>92</v>
      </c>
      <c r="F7" s="10">
        <f t="shared" ref="F7:F10" si="0">E7*D7</f>
        <v>220800</v>
      </c>
    </row>
    <row r="8" spans="2:6" ht="28.5" x14ac:dyDescent="0.45">
      <c r="B8" s="6">
        <v>3</v>
      </c>
      <c r="C8" s="7" t="s">
        <v>148</v>
      </c>
      <c r="D8" s="8">
        <v>2400</v>
      </c>
      <c r="E8" s="9">
        <v>92</v>
      </c>
      <c r="F8" s="10">
        <f t="shared" si="0"/>
        <v>220800</v>
      </c>
    </row>
    <row r="9" spans="2:6" ht="28.5" x14ac:dyDescent="0.45">
      <c r="B9" s="6">
        <v>4</v>
      </c>
      <c r="C9" s="7" t="s">
        <v>152</v>
      </c>
      <c r="D9" s="8">
        <v>2400</v>
      </c>
      <c r="E9" s="9">
        <v>92</v>
      </c>
      <c r="F9" s="10">
        <f t="shared" si="0"/>
        <v>220800</v>
      </c>
    </row>
    <row r="10" spans="2:6" ht="28.5" x14ac:dyDescent="0.45">
      <c r="B10" s="6">
        <v>5</v>
      </c>
      <c r="C10" s="7" t="s">
        <v>162</v>
      </c>
      <c r="D10" s="8">
        <v>2400</v>
      </c>
      <c r="E10" s="9">
        <v>92</v>
      </c>
      <c r="F10" s="10">
        <f t="shared" si="0"/>
        <v>220800</v>
      </c>
    </row>
    <row r="11" spans="2:6" ht="28.5" x14ac:dyDescent="0.45">
      <c r="B11" s="6"/>
      <c r="C11" s="7"/>
      <c r="D11" s="10"/>
      <c r="E11" s="9"/>
      <c r="F11" s="10"/>
    </row>
    <row r="12" spans="2:6" ht="52.5" customHeight="1" x14ac:dyDescent="0.25">
      <c r="B12" s="168" t="s">
        <v>12</v>
      </c>
      <c r="C12" s="168"/>
      <c r="D12" s="8">
        <v>12000</v>
      </c>
      <c r="E12" s="48">
        <v>92</v>
      </c>
      <c r="F12" s="61">
        <f>E12*D12</f>
        <v>1104000</v>
      </c>
    </row>
    <row r="13" spans="2:6" ht="55.5" customHeight="1" x14ac:dyDescent="0.25">
      <c r="B13" s="161" t="s">
        <v>13</v>
      </c>
      <c r="C13" s="162"/>
      <c r="D13" s="13"/>
      <c r="E13" s="13"/>
      <c r="F13" s="13"/>
    </row>
  </sheetData>
  <mergeCells count="3">
    <mergeCell ref="B4:F4"/>
    <mergeCell ref="B12:C12"/>
    <mergeCell ref="B13:C1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C3:F145"/>
  <sheetViews>
    <sheetView topLeftCell="A140" workbookViewId="0">
      <selection activeCell="C144" sqref="C144:F145"/>
    </sheetView>
  </sheetViews>
  <sheetFormatPr defaultRowHeight="15" x14ac:dyDescent="0.25"/>
  <cols>
    <col min="3" max="3" width="28.28515625" customWidth="1"/>
    <col min="4" max="4" width="52.85546875" customWidth="1"/>
    <col min="5" max="5" width="22" customWidth="1"/>
    <col min="6" max="6" width="27.7109375" customWidth="1"/>
  </cols>
  <sheetData>
    <row r="3" spans="3:6" ht="15.75" thickBot="1" x14ac:dyDescent="0.3"/>
    <row r="4" spans="3:6" ht="115.5" customHeight="1" thickBot="1" x14ac:dyDescent="0.3">
      <c r="C4" s="125" t="s">
        <v>133</v>
      </c>
      <c r="D4" s="126"/>
      <c r="E4" s="126"/>
      <c r="F4" s="127"/>
    </row>
    <row r="5" spans="3:6" ht="30.75" x14ac:dyDescent="0.25">
      <c r="C5" s="14" t="s">
        <v>15</v>
      </c>
      <c r="D5" s="15" t="s">
        <v>16</v>
      </c>
      <c r="E5" s="15" t="s">
        <v>17</v>
      </c>
      <c r="F5" s="16" t="s">
        <v>18</v>
      </c>
    </row>
    <row r="6" spans="3:6" ht="33" customHeight="1" x14ac:dyDescent="0.25">
      <c r="C6" s="169" t="s">
        <v>132</v>
      </c>
      <c r="D6" s="38" t="s">
        <v>100</v>
      </c>
      <c r="E6" s="15">
        <v>80</v>
      </c>
      <c r="F6" s="135">
        <v>250</v>
      </c>
    </row>
    <row r="7" spans="3:6" ht="36" x14ac:dyDescent="0.25">
      <c r="C7" s="169"/>
      <c r="D7" s="30" t="s">
        <v>102</v>
      </c>
      <c r="E7" s="15">
        <v>90</v>
      </c>
      <c r="F7" s="138"/>
    </row>
    <row r="8" spans="3:6" ht="62.25" customHeight="1" x14ac:dyDescent="0.25">
      <c r="C8" s="36"/>
      <c r="D8" s="38" t="s">
        <v>106</v>
      </c>
      <c r="E8" s="15">
        <v>20</v>
      </c>
      <c r="F8" s="138"/>
    </row>
    <row r="9" spans="3:6" ht="35.25" x14ac:dyDescent="0.25">
      <c r="C9" s="37"/>
      <c r="D9" s="20" t="s">
        <v>29</v>
      </c>
      <c r="E9" s="15">
        <v>60</v>
      </c>
      <c r="F9" s="136"/>
    </row>
    <row r="10" spans="3:6" ht="31.5" customHeight="1" x14ac:dyDescent="0.55000000000000004">
      <c r="C10" s="37" t="s">
        <v>134</v>
      </c>
      <c r="D10" s="45" t="s">
        <v>100</v>
      </c>
      <c r="E10" s="15">
        <v>30</v>
      </c>
      <c r="F10" s="135">
        <v>650</v>
      </c>
    </row>
    <row r="11" spans="3:6" ht="36" x14ac:dyDescent="0.25">
      <c r="C11" s="37"/>
      <c r="D11" s="17" t="s">
        <v>19</v>
      </c>
      <c r="E11" s="15">
        <v>200</v>
      </c>
      <c r="F11" s="138"/>
    </row>
    <row r="12" spans="3:6" ht="36" x14ac:dyDescent="0.25">
      <c r="C12" s="37"/>
      <c r="D12" s="30" t="s">
        <v>102</v>
      </c>
      <c r="E12" s="15">
        <v>60</v>
      </c>
      <c r="F12" s="138"/>
    </row>
    <row r="13" spans="3:6" ht="34.5" customHeight="1" x14ac:dyDescent="0.25">
      <c r="C13" s="37"/>
      <c r="D13" s="19" t="s">
        <v>20</v>
      </c>
      <c r="E13" s="15">
        <v>300</v>
      </c>
      <c r="F13" s="138"/>
    </row>
    <row r="14" spans="3:6" ht="35.25" x14ac:dyDescent="0.25">
      <c r="C14" s="37"/>
      <c r="D14" s="20" t="s">
        <v>29</v>
      </c>
      <c r="E14" s="15">
        <v>60</v>
      </c>
      <c r="F14" s="136"/>
    </row>
    <row r="15" spans="3:6" ht="36" x14ac:dyDescent="0.55000000000000004">
      <c r="C15" s="37" t="s">
        <v>135</v>
      </c>
      <c r="D15" s="45" t="s">
        <v>100</v>
      </c>
      <c r="E15" s="15">
        <v>40</v>
      </c>
      <c r="F15" s="135">
        <v>420</v>
      </c>
    </row>
    <row r="16" spans="3:6" ht="36" x14ac:dyDescent="0.25">
      <c r="C16" s="37"/>
      <c r="D16" s="30" t="s">
        <v>102</v>
      </c>
      <c r="E16" s="15">
        <v>90</v>
      </c>
      <c r="F16" s="138"/>
    </row>
    <row r="17" spans="3:6" ht="36" x14ac:dyDescent="0.25">
      <c r="C17" s="37"/>
      <c r="D17" s="19" t="s">
        <v>20</v>
      </c>
      <c r="E17" s="15">
        <v>220</v>
      </c>
      <c r="F17" s="138"/>
    </row>
    <row r="18" spans="3:6" ht="71.25" x14ac:dyDescent="0.25">
      <c r="C18" s="37"/>
      <c r="D18" s="38" t="s">
        <v>106</v>
      </c>
      <c r="E18" s="15">
        <v>10</v>
      </c>
      <c r="F18" s="138"/>
    </row>
    <row r="19" spans="3:6" ht="35.25" x14ac:dyDescent="0.25">
      <c r="C19" s="37"/>
      <c r="D19" s="20" t="s">
        <v>29</v>
      </c>
      <c r="E19" s="15">
        <v>60</v>
      </c>
      <c r="F19" s="136"/>
    </row>
    <row r="20" spans="3:6" ht="36" x14ac:dyDescent="0.55000000000000004">
      <c r="C20" s="37" t="s">
        <v>136</v>
      </c>
      <c r="D20" s="45" t="s">
        <v>100</v>
      </c>
      <c r="E20" s="15">
        <v>60</v>
      </c>
      <c r="F20" s="135">
        <v>200</v>
      </c>
    </row>
    <row r="21" spans="3:6" ht="36" x14ac:dyDescent="0.25">
      <c r="C21" s="37"/>
      <c r="D21" s="30" t="s">
        <v>102</v>
      </c>
      <c r="E21" s="15">
        <v>80</v>
      </c>
      <c r="F21" s="138"/>
    </row>
    <row r="22" spans="3:6" ht="35.25" x14ac:dyDescent="0.25">
      <c r="C22" s="37"/>
      <c r="D22" s="20" t="s">
        <v>29</v>
      </c>
      <c r="E22" s="15">
        <v>60</v>
      </c>
      <c r="F22" s="136"/>
    </row>
    <row r="23" spans="3:6" ht="36" x14ac:dyDescent="0.55000000000000004">
      <c r="C23" s="37" t="s">
        <v>137</v>
      </c>
      <c r="D23" s="45" t="s">
        <v>100</v>
      </c>
      <c r="E23" s="15">
        <v>50</v>
      </c>
      <c r="F23" s="135">
        <v>410</v>
      </c>
    </row>
    <row r="24" spans="3:6" ht="36" x14ac:dyDescent="0.25">
      <c r="C24" s="37"/>
      <c r="D24" s="17" t="s">
        <v>19</v>
      </c>
      <c r="E24" s="15">
        <v>200</v>
      </c>
      <c r="F24" s="138"/>
    </row>
    <row r="25" spans="3:6" ht="36" x14ac:dyDescent="0.25">
      <c r="C25" s="37"/>
      <c r="D25" s="30" t="s">
        <v>102</v>
      </c>
      <c r="E25" s="15">
        <v>90</v>
      </c>
      <c r="F25" s="138"/>
    </row>
    <row r="26" spans="3:6" ht="35.25" x14ac:dyDescent="0.25">
      <c r="C26" s="37"/>
      <c r="D26" s="20" t="s">
        <v>29</v>
      </c>
      <c r="E26" s="15">
        <v>70</v>
      </c>
      <c r="F26" s="136"/>
    </row>
    <row r="27" spans="3:6" ht="36" x14ac:dyDescent="0.55000000000000004">
      <c r="C27" s="37" t="s">
        <v>138</v>
      </c>
      <c r="D27" s="45" t="s">
        <v>100</v>
      </c>
      <c r="E27" s="15">
        <v>60</v>
      </c>
      <c r="F27" s="135">
        <v>630</v>
      </c>
    </row>
    <row r="28" spans="3:6" ht="36" x14ac:dyDescent="0.25">
      <c r="C28" s="37"/>
      <c r="D28" s="30" t="s">
        <v>102</v>
      </c>
      <c r="E28" s="15">
        <v>90</v>
      </c>
      <c r="F28" s="138"/>
    </row>
    <row r="29" spans="3:6" ht="36" x14ac:dyDescent="0.25">
      <c r="C29" s="37"/>
      <c r="D29" s="19" t="s">
        <v>20</v>
      </c>
      <c r="E29" s="15">
        <v>300</v>
      </c>
      <c r="F29" s="138"/>
    </row>
    <row r="30" spans="3:6" ht="35.25" x14ac:dyDescent="0.25">
      <c r="C30" s="37"/>
      <c r="D30" s="20" t="s">
        <v>29</v>
      </c>
      <c r="E30" s="15">
        <v>60</v>
      </c>
      <c r="F30" s="138"/>
    </row>
    <row r="31" spans="3:6" ht="35.25" x14ac:dyDescent="0.25">
      <c r="C31" s="37"/>
      <c r="D31" s="20" t="s">
        <v>26</v>
      </c>
      <c r="E31" s="15">
        <v>60</v>
      </c>
      <c r="F31" s="138"/>
    </row>
    <row r="32" spans="3:6" ht="36" x14ac:dyDescent="0.25">
      <c r="C32" s="37"/>
      <c r="D32" s="46" t="s">
        <v>139</v>
      </c>
      <c r="E32" s="15">
        <v>60</v>
      </c>
      <c r="F32" s="136"/>
    </row>
    <row r="33" spans="3:6" ht="36" x14ac:dyDescent="0.55000000000000004">
      <c r="C33" s="37" t="s">
        <v>140</v>
      </c>
      <c r="D33" s="45" t="s">
        <v>100</v>
      </c>
      <c r="E33" s="15">
        <v>70</v>
      </c>
      <c r="F33" s="135">
        <v>300</v>
      </c>
    </row>
    <row r="34" spans="3:6" ht="36" x14ac:dyDescent="0.25">
      <c r="C34" s="37"/>
      <c r="D34" s="30" t="s">
        <v>102</v>
      </c>
      <c r="E34" s="15">
        <v>80</v>
      </c>
      <c r="F34" s="138"/>
    </row>
    <row r="35" spans="3:6" ht="64.5" customHeight="1" x14ac:dyDescent="0.25">
      <c r="C35" s="37"/>
      <c r="D35" s="38" t="s">
        <v>106</v>
      </c>
      <c r="E35" s="15">
        <v>20</v>
      </c>
      <c r="F35" s="138"/>
    </row>
    <row r="36" spans="3:6" ht="35.25" x14ac:dyDescent="0.25">
      <c r="C36" s="37"/>
      <c r="D36" s="20" t="s">
        <v>29</v>
      </c>
      <c r="E36" s="15">
        <v>60</v>
      </c>
      <c r="F36" s="138"/>
    </row>
    <row r="37" spans="3:6" ht="35.25" x14ac:dyDescent="0.25">
      <c r="C37" s="37"/>
      <c r="D37" s="20" t="s">
        <v>26</v>
      </c>
      <c r="E37" s="15">
        <v>70</v>
      </c>
      <c r="F37" s="136"/>
    </row>
    <row r="38" spans="3:6" ht="36" x14ac:dyDescent="0.25">
      <c r="C38" s="37" t="s">
        <v>141</v>
      </c>
      <c r="D38" s="17" t="s">
        <v>19</v>
      </c>
      <c r="E38" s="15">
        <v>150</v>
      </c>
      <c r="F38" s="135">
        <v>828</v>
      </c>
    </row>
    <row r="39" spans="3:6" ht="36" x14ac:dyDescent="0.25">
      <c r="C39" s="37"/>
      <c r="D39" s="17" t="s">
        <v>110</v>
      </c>
      <c r="E39" s="15">
        <v>58</v>
      </c>
      <c r="F39" s="138"/>
    </row>
    <row r="40" spans="3:6" ht="36" x14ac:dyDescent="0.25">
      <c r="C40" s="37"/>
      <c r="D40" s="30" t="s">
        <v>102</v>
      </c>
      <c r="E40" s="15">
        <v>80</v>
      </c>
      <c r="F40" s="138"/>
    </row>
    <row r="41" spans="3:6" ht="36" x14ac:dyDescent="0.55000000000000004">
      <c r="C41" s="37"/>
      <c r="D41" s="45" t="s">
        <v>100</v>
      </c>
      <c r="E41" s="15">
        <v>70</v>
      </c>
      <c r="F41" s="138"/>
    </row>
    <row r="42" spans="3:6" ht="36" x14ac:dyDescent="0.25">
      <c r="C42" s="37"/>
      <c r="D42" s="19" t="s">
        <v>20</v>
      </c>
      <c r="E42" s="15">
        <v>350</v>
      </c>
      <c r="F42" s="138"/>
    </row>
    <row r="43" spans="3:6" ht="71.25" x14ac:dyDescent="0.25">
      <c r="C43" s="37"/>
      <c r="D43" s="38" t="s">
        <v>106</v>
      </c>
      <c r="E43" s="15">
        <v>20</v>
      </c>
      <c r="F43" s="138"/>
    </row>
    <row r="44" spans="3:6" ht="35.25" x14ac:dyDescent="0.25">
      <c r="C44" s="37"/>
      <c r="D44" s="20" t="s">
        <v>26</v>
      </c>
      <c r="E44" s="15">
        <v>70</v>
      </c>
      <c r="F44" s="138"/>
    </row>
    <row r="45" spans="3:6" ht="35.25" x14ac:dyDescent="0.25">
      <c r="C45" s="37"/>
      <c r="D45" s="19" t="s">
        <v>142</v>
      </c>
      <c r="E45" s="15">
        <v>30</v>
      </c>
      <c r="F45" s="136"/>
    </row>
    <row r="46" spans="3:6" ht="36" x14ac:dyDescent="0.25">
      <c r="C46" s="37" t="s">
        <v>143</v>
      </c>
      <c r="D46" s="30" t="s">
        <v>102</v>
      </c>
      <c r="E46" s="15">
        <v>80</v>
      </c>
      <c r="F46" s="135">
        <v>320</v>
      </c>
    </row>
    <row r="47" spans="3:6" ht="36" x14ac:dyDescent="0.55000000000000004">
      <c r="C47" s="37"/>
      <c r="D47" s="45" t="s">
        <v>100</v>
      </c>
      <c r="E47" s="15">
        <v>60</v>
      </c>
      <c r="F47" s="138"/>
    </row>
    <row r="48" spans="3:6" ht="35.25" x14ac:dyDescent="0.25">
      <c r="C48" s="37"/>
      <c r="D48" s="20" t="s">
        <v>26</v>
      </c>
      <c r="E48" s="15">
        <v>70</v>
      </c>
      <c r="F48" s="138"/>
    </row>
    <row r="49" spans="3:6" ht="35.25" x14ac:dyDescent="0.25">
      <c r="C49" s="37"/>
      <c r="D49" s="19" t="s">
        <v>142</v>
      </c>
      <c r="E49" s="15">
        <v>70</v>
      </c>
      <c r="F49" s="138"/>
    </row>
    <row r="50" spans="3:6" ht="35.25" x14ac:dyDescent="0.25">
      <c r="C50" s="37"/>
      <c r="D50" s="19" t="s">
        <v>144</v>
      </c>
      <c r="E50" s="15">
        <v>40</v>
      </c>
      <c r="F50" s="136"/>
    </row>
    <row r="51" spans="3:6" ht="36" x14ac:dyDescent="0.25">
      <c r="C51" s="37" t="s">
        <v>145</v>
      </c>
      <c r="D51" s="17" t="s">
        <v>110</v>
      </c>
      <c r="E51" s="15">
        <v>100</v>
      </c>
      <c r="F51" s="135">
        <v>380</v>
      </c>
    </row>
    <row r="52" spans="3:6" ht="36" x14ac:dyDescent="0.55000000000000004">
      <c r="C52" s="37"/>
      <c r="D52" s="45" t="s">
        <v>100</v>
      </c>
      <c r="E52" s="15">
        <v>60</v>
      </c>
      <c r="F52" s="138"/>
    </row>
    <row r="53" spans="3:6" ht="36" x14ac:dyDescent="0.25">
      <c r="C53" s="37"/>
      <c r="D53" s="30" t="s">
        <v>102</v>
      </c>
      <c r="E53" s="15">
        <v>80</v>
      </c>
      <c r="F53" s="138"/>
    </row>
    <row r="54" spans="3:6" ht="35.25" x14ac:dyDescent="0.25">
      <c r="C54" s="37"/>
      <c r="D54" s="20" t="s">
        <v>26</v>
      </c>
      <c r="E54" s="15">
        <v>70</v>
      </c>
      <c r="F54" s="138"/>
    </row>
    <row r="55" spans="3:6" ht="35.25" x14ac:dyDescent="0.25">
      <c r="C55" s="37"/>
      <c r="D55" s="19" t="s">
        <v>142</v>
      </c>
      <c r="E55" s="15">
        <v>70</v>
      </c>
      <c r="F55" s="136"/>
    </row>
    <row r="56" spans="3:6" ht="36" x14ac:dyDescent="0.55000000000000004">
      <c r="C56" s="37" t="s">
        <v>146</v>
      </c>
      <c r="D56" s="45" t="s">
        <v>100</v>
      </c>
      <c r="E56" s="15">
        <v>70</v>
      </c>
      <c r="F56" s="135">
        <v>790</v>
      </c>
    </row>
    <row r="57" spans="3:6" ht="36" x14ac:dyDescent="0.25">
      <c r="C57" s="37"/>
      <c r="D57" s="17" t="s">
        <v>19</v>
      </c>
      <c r="E57" s="15">
        <v>200</v>
      </c>
      <c r="F57" s="138"/>
    </row>
    <row r="58" spans="3:6" ht="36" x14ac:dyDescent="0.25">
      <c r="C58" s="37"/>
      <c r="D58" s="30" t="s">
        <v>102</v>
      </c>
      <c r="E58" s="15">
        <v>80</v>
      </c>
      <c r="F58" s="138"/>
    </row>
    <row r="59" spans="3:6" ht="36" x14ac:dyDescent="0.25">
      <c r="C59" s="37"/>
      <c r="D59" s="19" t="s">
        <v>20</v>
      </c>
      <c r="E59" s="15">
        <v>300</v>
      </c>
      <c r="F59" s="138"/>
    </row>
    <row r="60" spans="3:6" ht="35.25" x14ac:dyDescent="0.25">
      <c r="C60" s="37"/>
      <c r="D60" s="20" t="s">
        <v>26</v>
      </c>
      <c r="E60" s="15">
        <v>70</v>
      </c>
      <c r="F60" s="138"/>
    </row>
    <row r="61" spans="3:6" ht="35.25" x14ac:dyDescent="0.25">
      <c r="C61" s="37"/>
      <c r="D61" s="19" t="s">
        <v>142</v>
      </c>
      <c r="E61" s="15">
        <v>70</v>
      </c>
      <c r="F61" s="136"/>
    </row>
    <row r="62" spans="3:6" ht="36" x14ac:dyDescent="0.55000000000000004">
      <c r="C62" s="37" t="s">
        <v>147</v>
      </c>
      <c r="D62" s="45" t="s">
        <v>100</v>
      </c>
      <c r="E62" s="15">
        <v>60</v>
      </c>
      <c r="F62" s="135">
        <v>630</v>
      </c>
    </row>
    <row r="63" spans="3:6" ht="36" x14ac:dyDescent="0.25">
      <c r="C63" s="37"/>
      <c r="D63" s="30" t="s">
        <v>102</v>
      </c>
      <c r="E63" s="15">
        <v>30</v>
      </c>
      <c r="F63" s="138"/>
    </row>
    <row r="64" spans="3:6" ht="36" x14ac:dyDescent="0.25">
      <c r="C64" s="37"/>
      <c r="D64" s="19" t="s">
        <v>20</v>
      </c>
      <c r="E64" s="15">
        <v>400</v>
      </c>
      <c r="F64" s="138"/>
    </row>
    <row r="65" spans="3:6" ht="35.25" x14ac:dyDescent="0.25">
      <c r="C65" s="37"/>
      <c r="D65" s="20" t="s">
        <v>26</v>
      </c>
      <c r="E65" s="15">
        <v>70</v>
      </c>
      <c r="F65" s="138"/>
    </row>
    <row r="66" spans="3:6" ht="35.25" x14ac:dyDescent="0.25">
      <c r="C66" s="37"/>
      <c r="D66" s="19" t="s">
        <v>142</v>
      </c>
      <c r="E66" s="15">
        <v>70</v>
      </c>
      <c r="F66" s="136"/>
    </row>
    <row r="67" spans="3:6" ht="36" x14ac:dyDescent="0.55000000000000004">
      <c r="C67" s="37" t="s">
        <v>148</v>
      </c>
      <c r="D67" s="45" t="s">
        <v>100</v>
      </c>
      <c r="E67" s="15">
        <v>70</v>
      </c>
      <c r="F67" s="135">
        <v>640</v>
      </c>
    </row>
    <row r="68" spans="3:6" ht="36" x14ac:dyDescent="0.25">
      <c r="C68" s="37"/>
      <c r="D68" s="30" t="s">
        <v>102</v>
      </c>
      <c r="E68" s="15">
        <v>70</v>
      </c>
      <c r="F68" s="138"/>
    </row>
    <row r="69" spans="3:6" ht="36" x14ac:dyDescent="0.25">
      <c r="C69" s="37"/>
      <c r="D69" s="19" t="s">
        <v>20</v>
      </c>
      <c r="E69" s="15">
        <v>350</v>
      </c>
      <c r="F69" s="138"/>
    </row>
    <row r="70" spans="3:6" ht="71.25" x14ac:dyDescent="0.25">
      <c r="C70" s="37"/>
      <c r="D70" s="38" t="s">
        <v>106</v>
      </c>
      <c r="E70" s="15">
        <v>30</v>
      </c>
      <c r="F70" s="138"/>
    </row>
    <row r="71" spans="3:6" ht="35.25" x14ac:dyDescent="0.25">
      <c r="C71" s="37"/>
      <c r="D71" s="20" t="s">
        <v>26</v>
      </c>
      <c r="E71" s="15">
        <v>70</v>
      </c>
      <c r="F71" s="138"/>
    </row>
    <row r="72" spans="3:6" ht="35.25" x14ac:dyDescent="0.25">
      <c r="C72" s="37"/>
      <c r="D72" s="19" t="s">
        <v>142</v>
      </c>
      <c r="E72" s="15">
        <v>50</v>
      </c>
      <c r="F72" s="136"/>
    </row>
    <row r="73" spans="3:6" ht="36" x14ac:dyDescent="0.25">
      <c r="C73" s="37" t="s">
        <v>149</v>
      </c>
      <c r="D73" s="17" t="s">
        <v>19</v>
      </c>
      <c r="E73" s="15">
        <v>200</v>
      </c>
      <c r="F73" s="135">
        <v>650</v>
      </c>
    </row>
    <row r="74" spans="3:6" ht="36" x14ac:dyDescent="0.25">
      <c r="C74" s="37"/>
      <c r="D74" s="17" t="s">
        <v>110</v>
      </c>
      <c r="E74" s="15">
        <v>100</v>
      </c>
      <c r="F74" s="138"/>
    </row>
    <row r="75" spans="3:6" ht="36" x14ac:dyDescent="0.55000000000000004">
      <c r="C75" s="37"/>
      <c r="D75" s="45" t="s">
        <v>100</v>
      </c>
      <c r="E75" s="15">
        <v>70</v>
      </c>
      <c r="F75" s="138"/>
    </row>
    <row r="76" spans="3:6" ht="36" x14ac:dyDescent="0.25">
      <c r="C76" s="37"/>
      <c r="D76" s="30" t="s">
        <v>102</v>
      </c>
      <c r="E76" s="15">
        <v>90</v>
      </c>
      <c r="F76" s="138"/>
    </row>
    <row r="77" spans="3:6" ht="35.25" x14ac:dyDescent="0.25">
      <c r="C77" s="37"/>
      <c r="D77" s="20" t="s">
        <v>29</v>
      </c>
      <c r="E77" s="15">
        <v>60</v>
      </c>
      <c r="F77" s="138"/>
    </row>
    <row r="78" spans="3:6" ht="35.25" x14ac:dyDescent="0.25">
      <c r="C78" s="37"/>
      <c r="D78" s="20" t="s">
        <v>26</v>
      </c>
      <c r="E78" s="15">
        <v>70</v>
      </c>
      <c r="F78" s="138"/>
    </row>
    <row r="79" spans="3:6" ht="35.25" x14ac:dyDescent="0.25">
      <c r="C79" s="37"/>
      <c r="D79" s="19" t="s">
        <v>142</v>
      </c>
      <c r="E79" s="15">
        <v>60</v>
      </c>
      <c r="F79" s="136"/>
    </row>
    <row r="80" spans="3:6" ht="36" x14ac:dyDescent="0.25">
      <c r="C80" s="37" t="s">
        <v>150</v>
      </c>
      <c r="D80" s="30" t="s">
        <v>102</v>
      </c>
      <c r="E80" s="15">
        <v>75</v>
      </c>
      <c r="F80" s="135">
        <v>685</v>
      </c>
    </row>
    <row r="81" spans="3:6" ht="36" x14ac:dyDescent="0.25">
      <c r="C81" s="37"/>
      <c r="D81" s="19" t="s">
        <v>20</v>
      </c>
      <c r="E81" s="15">
        <v>400</v>
      </c>
      <c r="F81" s="138"/>
    </row>
    <row r="82" spans="3:6" ht="35.25" x14ac:dyDescent="0.25">
      <c r="C82" s="37"/>
      <c r="D82" s="20" t="s">
        <v>29</v>
      </c>
      <c r="E82" s="15">
        <v>70</v>
      </c>
      <c r="F82" s="138"/>
    </row>
    <row r="83" spans="3:6" ht="35.25" x14ac:dyDescent="0.25">
      <c r="C83" s="37"/>
      <c r="D83" s="20" t="s">
        <v>26</v>
      </c>
      <c r="E83" s="15">
        <v>70</v>
      </c>
      <c r="F83" s="138"/>
    </row>
    <row r="84" spans="3:6" ht="35.25" x14ac:dyDescent="0.25">
      <c r="C84" s="37"/>
      <c r="D84" s="19" t="s">
        <v>142</v>
      </c>
      <c r="E84" s="15">
        <v>70</v>
      </c>
      <c r="F84" s="136"/>
    </row>
    <row r="85" spans="3:6" ht="36" x14ac:dyDescent="0.55000000000000004">
      <c r="C85" s="37" t="s">
        <v>151</v>
      </c>
      <c r="D85" s="45" t="s">
        <v>100</v>
      </c>
      <c r="E85" s="15">
        <v>80</v>
      </c>
      <c r="F85" s="135">
        <v>669</v>
      </c>
    </row>
    <row r="86" spans="3:6" ht="36" x14ac:dyDescent="0.25">
      <c r="C86" s="37"/>
      <c r="D86" s="30" t="s">
        <v>102</v>
      </c>
      <c r="E86" s="15">
        <v>90</v>
      </c>
      <c r="F86" s="138"/>
    </row>
    <row r="87" spans="3:6" ht="36" x14ac:dyDescent="0.25">
      <c r="C87" s="37"/>
      <c r="D87" s="19" t="s">
        <v>20</v>
      </c>
      <c r="E87" s="15">
        <v>309</v>
      </c>
      <c r="F87" s="138"/>
    </row>
    <row r="88" spans="3:6" ht="35.25" x14ac:dyDescent="0.25">
      <c r="C88" s="37"/>
      <c r="D88" s="20" t="s">
        <v>29</v>
      </c>
      <c r="E88" s="15">
        <v>70</v>
      </c>
      <c r="F88" s="138"/>
    </row>
    <row r="89" spans="3:6" ht="35.25" x14ac:dyDescent="0.25">
      <c r="C89" s="37"/>
      <c r="D89" s="20" t="s">
        <v>26</v>
      </c>
      <c r="E89" s="15">
        <v>70</v>
      </c>
      <c r="F89" s="138"/>
    </row>
    <row r="90" spans="3:6" ht="35.25" x14ac:dyDescent="0.25">
      <c r="C90" s="37"/>
      <c r="D90" s="19" t="s">
        <v>142</v>
      </c>
      <c r="E90" s="15">
        <v>50</v>
      </c>
      <c r="F90" s="136"/>
    </row>
    <row r="91" spans="3:6" ht="36" x14ac:dyDescent="0.55000000000000004">
      <c r="C91" s="37" t="s">
        <v>152</v>
      </c>
      <c r="D91" s="45" t="s">
        <v>100</v>
      </c>
      <c r="E91" s="15">
        <v>70</v>
      </c>
      <c r="F91" s="135">
        <v>780</v>
      </c>
    </row>
    <row r="92" spans="3:6" ht="36" x14ac:dyDescent="0.25">
      <c r="C92" s="37"/>
      <c r="D92" s="30" t="s">
        <v>102</v>
      </c>
      <c r="E92" s="15">
        <v>80</v>
      </c>
      <c r="F92" s="138"/>
    </row>
    <row r="93" spans="3:6" ht="36" x14ac:dyDescent="0.25">
      <c r="C93" s="37"/>
      <c r="D93" s="17" t="s">
        <v>19</v>
      </c>
      <c r="E93" s="15">
        <v>200</v>
      </c>
      <c r="F93" s="138"/>
    </row>
    <row r="94" spans="3:6" ht="36" x14ac:dyDescent="0.25">
      <c r="C94" s="37"/>
      <c r="D94" s="19" t="s">
        <v>20</v>
      </c>
      <c r="E94" s="15">
        <v>350</v>
      </c>
      <c r="F94" s="138"/>
    </row>
    <row r="95" spans="3:6" ht="35.25" x14ac:dyDescent="0.25">
      <c r="C95" s="37"/>
      <c r="D95" s="20" t="s">
        <v>29</v>
      </c>
      <c r="E95" s="15">
        <v>40</v>
      </c>
      <c r="F95" s="138"/>
    </row>
    <row r="96" spans="3:6" ht="35.25" x14ac:dyDescent="0.25">
      <c r="C96" s="37"/>
      <c r="D96" s="20" t="s">
        <v>26</v>
      </c>
      <c r="E96" s="15">
        <v>40</v>
      </c>
      <c r="F96" s="136"/>
    </row>
    <row r="97" spans="3:6" ht="36" x14ac:dyDescent="0.55000000000000004">
      <c r="C97" s="37" t="s">
        <v>153</v>
      </c>
      <c r="D97" s="45" t="s">
        <v>100</v>
      </c>
      <c r="E97" s="15">
        <v>60</v>
      </c>
      <c r="F97" s="135">
        <v>300</v>
      </c>
    </row>
    <row r="98" spans="3:6" ht="36" x14ac:dyDescent="0.25">
      <c r="C98" s="37"/>
      <c r="D98" s="30" t="s">
        <v>102</v>
      </c>
      <c r="E98" s="15">
        <v>80</v>
      </c>
      <c r="F98" s="138"/>
    </row>
    <row r="99" spans="3:6" ht="71.25" x14ac:dyDescent="0.25">
      <c r="C99" s="37"/>
      <c r="D99" s="38" t="s">
        <v>106</v>
      </c>
      <c r="E99" s="15">
        <v>20</v>
      </c>
      <c r="F99" s="138"/>
    </row>
    <row r="100" spans="3:6" ht="35.25" x14ac:dyDescent="0.25">
      <c r="C100" s="37"/>
      <c r="D100" s="20" t="s">
        <v>29</v>
      </c>
      <c r="E100" s="15">
        <v>70</v>
      </c>
      <c r="F100" s="138"/>
    </row>
    <row r="101" spans="3:6" ht="35.25" x14ac:dyDescent="0.25">
      <c r="C101" s="37"/>
      <c r="D101" s="20" t="s">
        <v>26</v>
      </c>
      <c r="E101" s="15">
        <v>70</v>
      </c>
      <c r="F101" s="136"/>
    </row>
    <row r="102" spans="3:6" ht="36" x14ac:dyDescent="0.25">
      <c r="C102" s="37" t="s">
        <v>154</v>
      </c>
      <c r="D102" s="17" t="s">
        <v>110</v>
      </c>
      <c r="E102" s="15">
        <v>100</v>
      </c>
      <c r="F102" s="135">
        <v>530</v>
      </c>
    </row>
    <row r="103" spans="3:6" ht="36" x14ac:dyDescent="0.55000000000000004">
      <c r="C103" s="37"/>
      <c r="D103" s="45" t="s">
        <v>100</v>
      </c>
      <c r="E103" s="15">
        <v>30</v>
      </c>
      <c r="F103" s="138"/>
    </row>
    <row r="104" spans="3:6" ht="36" x14ac:dyDescent="0.25">
      <c r="C104" s="37"/>
      <c r="D104" s="30" t="s">
        <v>102</v>
      </c>
      <c r="E104" s="15">
        <v>40</v>
      </c>
      <c r="F104" s="138"/>
    </row>
    <row r="105" spans="3:6" ht="36" x14ac:dyDescent="0.25">
      <c r="C105" s="37"/>
      <c r="D105" s="19" t="s">
        <v>20</v>
      </c>
      <c r="E105" s="15">
        <v>300</v>
      </c>
      <c r="F105" s="138"/>
    </row>
    <row r="106" spans="3:6" ht="35.25" x14ac:dyDescent="0.25">
      <c r="C106" s="37"/>
      <c r="D106" s="20" t="s">
        <v>29</v>
      </c>
      <c r="E106" s="15">
        <v>40</v>
      </c>
      <c r="F106" s="138"/>
    </row>
    <row r="107" spans="3:6" ht="35.25" x14ac:dyDescent="0.25">
      <c r="C107" s="37"/>
      <c r="D107" s="20" t="s">
        <v>26</v>
      </c>
      <c r="E107" s="15">
        <v>20</v>
      </c>
      <c r="F107" s="136"/>
    </row>
    <row r="108" spans="3:6" ht="36" x14ac:dyDescent="0.55000000000000004">
      <c r="C108" s="37" t="s">
        <v>155</v>
      </c>
      <c r="D108" s="45" t="s">
        <v>100</v>
      </c>
      <c r="E108" s="15">
        <v>60</v>
      </c>
      <c r="F108" s="135">
        <v>440</v>
      </c>
    </row>
    <row r="109" spans="3:6" ht="36" x14ac:dyDescent="0.25">
      <c r="C109" s="37"/>
      <c r="D109" s="17" t="s">
        <v>156</v>
      </c>
      <c r="E109" s="15">
        <v>150</v>
      </c>
      <c r="F109" s="138"/>
    </row>
    <row r="110" spans="3:6" ht="36" x14ac:dyDescent="0.25">
      <c r="C110" s="37"/>
      <c r="D110" s="30" t="s">
        <v>102</v>
      </c>
      <c r="E110" s="15">
        <v>80</v>
      </c>
      <c r="F110" s="138"/>
    </row>
    <row r="111" spans="3:6" ht="35.25" x14ac:dyDescent="0.25">
      <c r="C111" s="37"/>
      <c r="D111" s="20" t="s">
        <v>29</v>
      </c>
      <c r="E111" s="15">
        <v>70</v>
      </c>
      <c r="F111" s="138"/>
    </row>
    <row r="112" spans="3:6" ht="35.25" x14ac:dyDescent="0.25">
      <c r="C112" s="37"/>
      <c r="D112" s="20" t="s">
        <v>26</v>
      </c>
      <c r="E112" s="15">
        <v>70</v>
      </c>
      <c r="F112" s="138"/>
    </row>
    <row r="113" spans="3:6" ht="61.5" x14ac:dyDescent="0.25">
      <c r="C113" s="37"/>
      <c r="D113" s="47" t="s">
        <v>157</v>
      </c>
      <c r="E113" s="15">
        <v>10</v>
      </c>
      <c r="F113" s="136"/>
    </row>
    <row r="114" spans="3:6" ht="36" x14ac:dyDescent="0.25">
      <c r="C114" s="37" t="s">
        <v>159</v>
      </c>
      <c r="D114" s="30" t="s">
        <v>102</v>
      </c>
      <c r="E114" s="15">
        <v>80</v>
      </c>
      <c r="F114" s="23">
        <v>80</v>
      </c>
    </row>
    <row r="115" spans="3:6" ht="36" x14ac:dyDescent="0.55000000000000004">
      <c r="C115" s="37" t="s">
        <v>160</v>
      </c>
      <c r="D115" s="45" t="s">
        <v>100</v>
      </c>
      <c r="E115" s="15">
        <v>30</v>
      </c>
      <c r="F115" s="135">
        <v>270</v>
      </c>
    </row>
    <row r="116" spans="3:6" ht="36" x14ac:dyDescent="0.25">
      <c r="C116" s="37"/>
      <c r="D116" s="30" t="s">
        <v>102</v>
      </c>
      <c r="E116" s="15">
        <v>80</v>
      </c>
      <c r="F116" s="138"/>
    </row>
    <row r="117" spans="3:6" ht="35.25" x14ac:dyDescent="0.25">
      <c r="C117" s="37"/>
      <c r="D117" s="20" t="s">
        <v>29</v>
      </c>
      <c r="E117" s="15">
        <v>60</v>
      </c>
      <c r="F117" s="138"/>
    </row>
    <row r="118" spans="3:6" ht="35.25" x14ac:dyDescent="0.25">
      <c r="C118" s="37"/>
      <c r="D118" s="20" t="s">
        <v>26</v>
      </c>
      <c r="E118" s="15">
        <v>100</v>
      </c>
      <c r="F118" s="136"/>
    </row>
    <row r="119" spans="3:6" ht="36" x14ac:dyDescent="0.25">
      <c r="C119" s="37" t="s">
        <v>161</v>
      </c>
      <c r="D119" s="30" t="s">
        <v>102</v>
      </c>
      <c r="E119" s="15">
        <v>60</v>
      </c>
      <c r="F119" s="23">
        <v>60</v>
      </c>
    </row>
    <row r="120" spans="3:6" ht="36" x14ac:dyDescent="0.25">
      <c r="C120" s="37" t="s">
        <v>162</v>
      </c>
      <c r="D120" s="17" t="s">
        <v>156</v>
      </c>
      <c r="E120" s="15">
        <v>100</v>
      </c>
      <c r="F120" s="135">
        <v>830</v>
      </c>
    </row>
    <row r="121" spans="3:6" ht="36" x14ac:dyDescent="0.25">
      <c r="C121" s="37"/>
      <c r="D121" s="30" t="s">
        <v>102</v>
      </c>
      <c r="E121" s="15">
        <v>70</v>
      </c>
      <c r="F121" s="138"/>
    </row>
    <row r="122" spans="3:6" ht="36" x14ac:dyDescent="0.55000000000000004">
      <c r="C122" s="37"/>
      <c r="D122" s="45" t="s">
        <v>100</v>
      </c>
      <c r="E122" s="15">
        <v>60</v>
      </c>
      <c r="F122" s="138"/>
    </row>
    <row r="123" spans="3:6" ht="36" x14ac:dyDescent="0.25">
      <c r="C123" s="37"/>
      <c r="D123" s="19" t="s">
        <v>20</v>
      </c>
      <c r="E123" s="15">
        <v>440</v>
      </c>
      <c r="F123" s="138"/>
    </row>
    <row r="124" spans="3:6" ht="71.25" x14ac:dyDescent="0.25">
      <c r="C124" s="37"/>
      <c r="D124" s="38" t="s">
        <v>106</v>
      </c>
      <c r="E124" s="15">
        <v>20</v>
      </c>
      <c r="F124" s="138"/>
    </row>
    <row r="125" spans="3:6" ht="35.25" x14ac:dyDescent="0.25">
      <c r="C125" s="37"/>
      <c r="D125" s="20" t="s">
        <v>29</v>
      </c>
      <c r="E125" s="15">
        <v>70</v>
      </c>
      <c r="F125" s="138"/>
    </row>
    <row r="126" spans="3:6" ht="35.25" x14ac:dyDescent="0.25">
      <c r="C126" s="37"/>
      <c r="D126" s="19" t="s">
        <v>142</v>
      </c>
      <c r="E126" s="15">
        <v>70</v>
      </c>
      <c r="F126" s="136"/>
    </row>
    <row r="127" spans="3:6" ht="36" x14ac:dyDescent="0.25">
      <c r="C127" s="37" t="s">
        <v>163</v>
      </c>
      <c r="D127" s="17" t="s">
        <v>156</v>
      </c>
      <c r="E127" s="15">
        <v>200</v>
      </c>
      <c r="F127" s="135">
        <v>450</v>
      </c>
    </row>
    <row r="128" spans="3:6" ht="36" x14ac:dyDescent="0.25">
      <c r="C128" s="37"/>
      <c r="D128" s="30" t="s">
        <v>102</v>
      </c>
      <c r="E128" s="15">
        <v>70</v>
      </c>
      <c r="F128" s="138"/>
    </row>
    <row r="129" spans="3:6" ht="36" x14ac:dyDescent="0.55000000000000004">
      <c r="C129" s="37"/>
      <c r="D129" s="45" t="s">
        <v>100</v>
      </c>
      <c r="E129" s="15">
        <v>50</v>
      </c>
      <c r="F129" s="138"/>
    </row>
    <row r="130" spans="3:6" ht="35.25" x14ac:dyDescent="0.25">
      <c r="C130" s="37"/>
      <c r="D130" s="20" t="s">
        <v>29</v>
      </c>
      <c r="E130" s="15">
        <v>60</v>
      </c>
      <c r="F130" s="138"/>
    </row>
    <row r="131" spans="3:6" ht="35.25" x14ac:dyDescent="0.25">
      <c r="C131" s="37"/>
      <c r="D131" s="19" t="s">
        <v>142</v>
      </c>
      <c r="E131" s="15">
        <v>70</v>
      </c>
      <c r="F131" s="136"/>
    </row>
    <row r="132" spans="3:6" ht="36" x14ac:dyDescent="0.25">
      <c r="C132" s="37" t="s">
        <v>164</v>
      </c>
      <c r="D132" s="17" t="s">
        <v>165</v>
      </c>
      <c r="E132" s="15">
        <v>100</v>
      </c>
      <c r="F132" s="135">
        <v>490</v>
      </c>
    </row>
    <row r="133" spans="3:6" ht="36" x14ac:dyDescent="0.55000000000000004">
      <c r="C133" s="37"/>
      <c r="D133" s="45" t="s">
        <v>100</v>
      </c>
      <c r="E133" s="15">
        <v>50</v>
      </c>
      <c r="F133" s="138"/>
    </row>
    <row r="134" spans="3:6" ht="36" x14ac:dyDescent="0.25">
      <c r="C134" s="37"/>
      <c r="D134" s="30" t="s">
        <v>102</v>
      </c>
      <c r="E134" s="15">
        <v>80</v>
      </c>
      <c r="F134" s="138"/>
    </row>
    <row r="135" spans="3:6" ht="35.25" x14ac:dyDescent="0.25">
      <c r="C135" s="37"/>
      <c r="D135" s="20" t="s">
        <v>29</v>
      </c>
      <c r="E135" s="15">
        <v>70</v>
      </c>
      <c r="F135" s="138"/>
    </row>
    <row r="136" spans="3:6" ht="35.25" x14ac:dyDescent="0.25">
      <c r="C136" s="37"/>
      <c r="D136" s="19" t="s">
        <v>166</v>
      </c>
      <c r="E136" s="15">
        <v>40</v>
      </c>
      <c r="F136" s="138"/>
    </row>
    <row r="137" spans="3:6" ht="36" thickBot="1" x14ac:dyDescent="0.3">
      <c r="C137" s="37"/>
      <c r="D137" s="20" t="s">
        <v>169</v>
      </c>
      <c r="E137" s="15">
        <v>150</v>
      </c>
      <c r="F137" s="138"/>
    </row>
    <row r="138" spans="3:6" ht="36" x14ac:dyDescent="0.55000000000000004">
      <c r="C138" s="37" t="s">
        <v>167</v>
      </c>
      <c r="D138" s="45" t="s">
        <v>100</v>
      </c>
      <c r="E138" s="40">
        <v>50</v>
      </c>
      <c r="F138" s="163">
        <v>580</v>
      </c>
    </row>
    <row r="139" spans="3:6" ht="36" x14ac:dyDescent="0.25">
      <c r="C139" s="37"/>
      <c r="D139" s="30" t="s">
        <v>102</v>
      </c>
      <c r="E139" s="40">
        <v>90</v>
      </c>
      <c r="F139" s="165"/>
    </row>
    <row r="140" spans="3:6" ht="36" x14ac:dyDescent="0.25">
      <c r="C140" s="37"/>
      <c r="D140" s="19" t="s">
        <v>20</v>
      </c>
      <c r="E140" s="40">
        <v>300</v>
      </c>
      <c r="F140" s="165"/>
    </row>
    <row r="141" spans="3:6" ht="35.25" x14ac:dyDescent="0.25">
      <c r="C141" s="37"/>
      <c r="D141" s="20" t="s">
        <v>29</v>
      </c>
      <c r="E141" s="40">
        <v>70</v>
      </c>
      <c r="F141" s="165"/>
    </row>
    <row r="142" spans="3:6" ht="36" thickBot="1" x14ac:dyDescent="0.3">
      <c r="C142" s="37"/>
      <c r="D142" s="19" t="s">
        <v>166</v>
      </c>
      <c r="E142" s="40">
        <v>70</v>
      </c>
      <c r="F142" s="164"/>
    </row>
    <row r="143" spans="3:6" ht="36" thickBot="1" x14ac:dyDescent="0.3">
      <c r="C143" s="37" t="s">
        <v>168</v>
      </c>
      <c r="D143" s="20" t="s">
        <v>169</v>
      </c>
      <c r="E143" s="15">
        <v>50</v>
      </c>
      <c r="F143" s="23">
        <v>50</v>
      </c>
    </row>
    <row r="144" spans="3:6" ht="51.75" customHeight="1" x14ac:dyDescent="0.25">
      <c r="C144" s="152" t="s">
        <v>173</v>
      </c>
      <c r="D144" s="153"/>
      <c r="E144" s="153"/>
      <c r="F144" s="154"/>
    </row>
    <row r="145" spans="3:6" ht="126.75" customHeight="1" thickBot="1" x14ac:dyDescent="0.3">
      <c r="C145" s="155"/>
      <c r="D145" s="156"/>
      <c r="E145" s="156"/>
      <c r="F145" s="157"/>
    </row>
  </sheetData>
  <mergeCells count="28">
    <mergeCell ref="F62:F66"/>
    <mergeCell ref="F51:F55"/>
    <mergeCell ref="F56:F61"/>
    <mergeCell ref="F46:F50"/>
    <mergeCell ref="F120:F126"/>
    <mergeCell ref="F115:F118"/>
    <mergeCell ref="F102:F107"/>
    <mergeCell ref="F108:F113"/>
    <mergeCell ref="F97:F101"/>
    <mergeCell ref="F67:F72"/>
    <mergeCell ref="F73:F79"/>
    <mergeCell ref="F33:F37"/>
    <mergeCell ref="F38:F45"/>
    <mergeCell ref="F20:F22"/>
    <mergeCell ref="F27:F32"/>
    <mergeCell ref="F23:F26"/>
    <mergeCell ref="C4:F4"/>
    <mergeCell ref="C6:C7"/>
    <mergeCell ref="F6:F9"/>
    <mergeCell ref="F10:F14"/>
    <mergeCell ref="F15:F19"/>
    <mergeCell ref="C144:F145"/>
    <mergeCell ref="F127:F131"/>
    <mergeCell ref="F91:F96"/>
    <mergeCell ref="F80:F84"/>
    <mergeCell ref="F85:F90"/>
    <mergeCell ref="F138:F142"/>
    <mergeCell ref="F132:F137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4:F14"/>
  <sheetViews>
    <sheetView topLeftCell="A7" workbookViewId="0">
      <selection activeCell="C12" sqref="C12"/>
    </sheetView>
  </sheetViews>
  <sheetFormatPr defaultRowHeight="15" x14ac:dyDescent="0.25"/>
  <cols>
    <col min="2" max="2" width="17.7109375" customWidth="1"/>
    <col min="3" max="3" width="29.85546875" customWidth="1"/>
    <col min="4" max="4" width="18.28515625" customWidth="1"/>
    <col min="5" max="5" width="25.42578125" customWidth="1"/>
    <col min="6" max="6" width="28.42578125" customWidth="1"/>
  </cols>
  <sheetData>
    <row r="4" spans="2:6" ht="15.75" thickBot="1" x14ac:dyDescent="0.3"/>
    <row r="5" spans="2:6" ht="88.5" customHeight="1" x14ac:dyDescent="0.25">
      <c r="B5" s="140" t="s">
        <v>170</v>
      </c>
      <c r="C5" s="141"/>
      <c r="D5" s="141"/>
      <c r="E5" s="141"/>
      <c r="F5" s="142"/>
    </row>
    <row r="6" spans="2:6" ht="32.25" thickBot="1" x14ac:dyDescent="0.3">
      <c r="B6" s="26" t="s">
        <v>2</v>
      </c>
      <c r="C6" s="27" t="s">
        <v>3</v>
      </c>
      <c r="D6" s="28" t="s">
        <v>4</v>
      </c>
      <c r="E6" s="11" t="s">
        <v>5</v>
      </c>
      <c r="F6" s="29" t="s">
        <v>6</v>
      </c>
    </row>
    <row r="7" spans="2:6" ht="40.5" customHeight="1" x14ac:dyDescent="0.4">
      <c r="B7" s="6">
        <v>1</v>
      </c>
      <c r="C7" s="63" t="s">
        <v>172</v>
      </c>
      <c r="D7" s="8">
        <v>2800</v>
      </c>
      <c r="E7" s="9">
        <v>92</v>
      </c>
      <c r="F7" s="10">
        <f>E7*D7</f>
        <v>257600</v>
      </c>
    </row>
    <row r="8" spans="2:6" ht="40.5" customHeight="1" x14ac:dyDescent="0.45">
      <c r="B8" s="6">
        <v>2</v>
      </c>
      <c r="C8" s="7" t="s">
        <v>187</v>
      </c>
      <c r="D8" s="8">
        <v>700</v>
      </c>
      <c r="E8" s="9">
        <v>92</v>
      </c>
      <c r="F8" s="10">
        <f t="shared" ref="F8:F12" si="0">E8*D8</f>
        <v>64400</v>
      </c>
    </row>
    <row r="9" spans="2:6" ht="37.5" customHeight="1" x14ac:dyDescent="0.45">
      <c r="B9" s="6">
        <v>3</v>
      </c>
      <c r="C9" s="7" t="s">
        <v>188</v>
      </c>
      <c r="D9" s="8">
        <v>2500</v>
      </c>
      <c r="E9" s="9">
        <v>92</v>
      </c>
      <c r="F9" s="10">
        <f t="shared" si="0"/>
        <v>230000</v>
      </c>
    </row>
    <row r="10" spans="2:6" ht="39.75" customHeight="1" x14ac:dyDescent="0.45">
      <c r="B10" s="6">
        <v>4</v>
      </c>
      <c r="C10" s="7" t="s">
        <v>199</v>
      </c>
      <c r="D10" s="8">
        <v>1500</v>
      </c>
      <c r="E10" s="9">
        <v>92</v>
      </c>
      <c r="F10" s="10">
        <f t="shared" si="0"/>
        <v>138000</v>
      </c>
    </row>
    <row r="11" spans="2:6" ht="28.5" x14ac:dyDescent="0.45">
      <c r="B11" s="6">
        <v>5</v>
      </c>
      <c r="C11" s="7" t="s">
        <v>201</v>
      </c>
      <c r="D11" s="8">
        <v>1400</v>
      </c>
      <c r="E11" s="9">
        <v>92</v>
      </c>
      <c r="F11" s="10">
        <f t="shared" si="0"/>
        <v>128800</v>
      </c>
    </row>
    <row r="12" spans="2:6" ht="28.5" x14ac:dyDescent="0.45">
      <c r="B12" s="6">
        <v>6</v>
      </c>
      <c r="C12" s="7" t="s">
        <v>211</v>
      </c>
      <c r="D12" s="10">
        <v>1000</v>
      </c>
      <c r="E12" s="9">
        <v>92</v>
      </c>
      <c r="F12" s="10">
        <f t="shared" si="0"/>
        <v>92000</v>
      </c>
    </row>
    <row r="13" spans="2:6" ht="44.25" customHeight="1" x14ac:dyDescent="0.25">
      <c r="B13" s="143" t="s">
        <v>12</v>
      </c>
      <c r="C13" s="143"/>
      <c r="D13" s="4">
        <v>9900</v>
      </c>
      <c r="E13" s="76">
        <v>92</v>
      </c>
      <c r="F13" s="4">
        <f>E13*D13</f>
        <v>910800</v>
      </c>
    </row>
    <row r="14" spans="2:6" ht="58.5" customHeight="1" x14ac:dyDescent="0.25">
      <c r="B14" s="161" t="s">
        <v>13</v>
      </c>
      <c r="C14" s="162"/>
      <c r="D14" s="13"/>
      <c r="E14" s="13"/>
      <c r="F14" s="13"/>
    </row>
  </sheetData>
  <mergeCells count="3">
    <mergeCell ref="B5:F5"/>
    <mergeCell ref="B13:C13"/>
    <mergeCell ref="B14:C14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4:F106"/>
  <sheetViews>
    <sheetView topLeftCell="A100" workbookViewId="0">
      <selection activeCell="B105" sqref="B105:E106"/>
    </sheetView>
  </sheetViews>
  <sheetFormatPr defaultRowHeight="15" x14ac:dyDescent="0.25"/>
  <cols>
    <col min="2" max="2" width="34.85546875" customWidth="1"/>
    <col min="3" max="3" width="53.42578125" customWidth="1"/>
    <col min="4" max="4" width="30.7109375" customWidth="1"/>
    <col min="5" max="5" width="42.7109375" customWidth="1"/>
  </cols>
  <sheetData>
    <row r="4" spans="2:5" ht="15.75" thickBot="1" x14ac:dyDescent="0.3"/>
    <row r="5" spans="2:5" ht="83.25" customHeight="1" thickBot="1" x14ac:dyDescent="0.3">
      <c r="B5" s="125" t="s">
        <v>171</v>
      </c>
      <c r="C5" s="126"/>
      <c r="D5" s="126"/>
      <c r="E5" s="127"/>
    </row>
    <row r="6" spans="2:5" ht="30.75" x14ac:dyDescent="0.25">
      <c r="B6" s="14" t="s">
        <v>15</v>
      </c>
      <c r="C6" s="15" t="s">
        <v>16</v>
      </c>
      <c r="D6" s="15" t="s">
        <v>17</v>
      </c>
      <c r="E6" s="16" t="s">
        <v>18</v>
      </c>
    </row>
    <row r="7" spans="2:5" ht="33.75" customHeight="1" x14ac:dyDescent="0.55000000000000004">
      <c r="B7" s="37" t="s">
        <v>179</v>
      </c>
      <c r="C7" s="45" t="s">
        <v>100</v>
      </c>
      <c r="D7" s="15">
        <v>30</v>
      </c>
      <c r="E7" s="139">
        <v>960</v>
      </c>
    </row>
    <row r="8" spans="2:5" ht="33" customHeight="1" x14ac:dyDescent="0.25">
      <c r="B8" s="37"/>
      <c r="C8" s="17" t="s">
        <v>156</v>
      </c>
      <c r="D8" s="15">
        <v>150</v>
      </c>
      <c r="E8" s="139"/>
    </row>
    <row r="9" spans="2:5" ht="44.25" customHeight="1" x14ac:dyDescent="0.25">
      <c r="B9" s="37"/>
      <c r="C9" s="30" t="s">
        <v>102</v>
      </c>
      <c r="D9" s="15">
        <v>70</v>
      </c>
      <c r="E9" s="139"/>
    </row>
    <row r="10" spans="2:5" ht="36" x14ac:dyDescent="0.25">
      <c r="B10" s="37"/>
      <c r="C10" s="19" t="s">
        <v>20</v>
      </c>
      <c r="D10" s="15">
        <v>400</v>
      </c>
      <c r="E10" s="139"/>
    </row>
    <row r="11" spans="2:5" ht="33.75" x14ac:dyDescent="0.25">
      <c r="B11" s="37"/>
      <c r="C11" s="64" t="s">
        <v>176</v>
      </c>
      <c r="D11" s="15">
        <v>20</v>
      </c>
      <c r="E11" s="139"/>
    </row>
    <row r="12" spans="2:5" ht="35.25" x14ac:dyDescent="0.25">
      <c r="B12" s="37"/>
      <c r="C12" s="20" t="s">
        <v>29</v>
      </c>
      <c r="D12" s="15">
        <v>60</v>
      </c>
      <c r="E12" s="139"/>
    </row>
    <row r="13" spans="2:5" ht="35.25" x14ac:dyDescent="0.25">
      <c r="B13" s="37"/>
      <c r="C13" s="20" t="s">
        <v>26</v>
      </c>
      <c r="D13" s="15">
        <v>60</v>
      </c>
      <c r="E13" s="139"/>
    </row>
    <row r="14" spans="2:5" ht="35.25" x14ac:dyDescent="0.25">
      <c r="B14" s="37"/>
      <c r="C14" s="19" t="s">
        <v>178</v>
      </c>
      <c r="D14" s="15">
        <v>20</v>
      </c>
      <c r="E14" s="139"/>
    </row>
    <row r="15" spans="2:5" ht="35.25" x14ac:dyDescent="0.25">
      <c r="B15" s="37"/>
      <c r="C15" s="20" t="s">
        <v>177</v>
      </c>
      <c r="D15" s="15">
        <v>150</v>
      </c>
      <c r="E15" s="139"/>
    </row>
    <row r="16" spans="2:5" ht="36" x14ac:dyDescent="0.55000000000000004">
      <c r="B16" s="62" t="s">
        <v>180</v>
      </c>
      <c r="C16" s="45" t="s">
        <v>100</v>
      </c>
      <c r="D16" s="15">
        <v>80</v>
      </c>
      <c r="E16" s="139">
        <v>270</v>
      </c>
    </row>
    <row r="17" spans="2:5" ht="36" x14ac:dyDescent="0.25">
      <c r="B17" s="37"/>
      <c r="C17" s="30" t="s">
        <v>102</v>
      </c>
      <c r="D17" s="15">
        <v>70</v>
      </c>
      <c r="E17" s="139"/>
    </row>
    <row r="18" spans="2:5" ht="35.25" x14ac:dyDescent="0.25">
      <c r="B18" s="37"/>
      <c r="C18" s="20" t="s">
        <v>29</v>
      </c>
      <c r="D18" s="15">
        <v>50</v>
      </c>
      <c r="E18" s="139"/>
    </row>
    <row r="19" spans="2:5" ht="35.25" x14ac:dyDescent="0.25">
      <c r="B19" s="37"/>
      <c r="C19" s="20" t="s">
        <v>26</v>
      </c>
      <c r="D19" s="15">
        <v>70</v>
      </c>
      <c r="E19" s="139"/>
    </row>
    <row r="20" spans="2:5" ht="36" x14ac:dyDescent="0.55000000000000004">
      <c r="B20" s="37" t="s">
        <v>181</v>
      </c>
      <c r="C20" s="45" t="s">
        <v>100</v>
      </c>
      <c r="D20" s="15">
        <v>70</v>
      </c>
      <c r="E20" s="135">
        <v>730</v>
      </c>
    </row>
    <row r="21" spans="2:5" ht="36" x14ac:dyDescent="0.25">
      <c r="B21" s="37"/>
      <c r="C21" s="30" t="s">
        <v>102</v>
      </c>
      <c r="D21" s="15">
        <v>70</v>
      </c>
      <c r="E21" s="138"/>
    </row>
    <row r="22" spans="2:5" ht="36" x14ac:dyDescent="0.25">
      <c r="B22" s="37"/>
      <c r="C22" s="19" t="s">
        <v>20</v>
      </c>
      <c r="D22" s="15">
        <v>300</v>
      </c>
      <c r="E22" s="138"/>
    </row>
    <row r="23" spans="2:5" ht="35.25" x14ac:dyDescent="0.25">
      <c r="B23" s="37"/>
      <c r="C23" s="20" t="s">
        <v>29</v>
      </c>
      <c r="D23" s="15">
        <v>70</v>
      </c>
      <c r="E23" s="138"/>
    </row>
    <row r="24" spans="2:5" ht="35.25" x14ac:dyDescent="0.25">
      <c r="B24" s="37"/>
      <c r="C24" s="20" t="s">
        <v>26</v>
      </c>
      <c r="D24" s="15">
        <v>70</v>
      </c>
      <c r="E24" s="138"/>
    </row>
    <row r="25" spans="2:5" ht="35.25" x14ac:dyDescent="0.25">
      <c r="B25" s="37"/>
      <c r="C25" s="19" t="s">
        <v>178</v>
      </c>
      <c r="D25" s="15">
        <v>150</v>
      </c>
      <c r="E25" s="138"/>
    </row>
    <row r="26" spans="2:5" ht="35.25" x14ac:dyDescent="0.25">
      <c r="B26" s="37" t="s">
        <v>182</v>
      </c>
      <c r="C26" s="19" t="s">
        <v>178</v>
      </c>
      <c r="D26" s="15">
        <v>30</v>
      </c>
      <c r="E26" s="18">
        <v>30</v>
      </c>
    </row>
    <row r="27" spans="2:5" ht="36" x14ac:dyDescent="0.55000000000000004">
      <c r="B27" s="37" t="s">
        <v>183</v>
      </c>
      <c r="C27" s="45" t="s">
        <v>100</v>
      </c>
      <c r="D27" s="15">
        <v>80</v>
      </c>
      <c r="E27" s="139">
        <v>300</v>
      </c>
    </row>
    <row r="28" spans="2:5" ht="36" x14ac:dyDescent="0.25">
      <c r="B28" s="37"/>
      <c r="C28" s="30" t="s">
        <v>102</v>
      </c>
      <c r="D28" s="15">
        <v>70</v>
      </c>
      <c r="E28" s="139"/>
    </row>
    <row r="29" spans="2:5" ht="35.25" x14ac:dyDescent="0.25">
      <c r="B29" s="37"/>
      <c r="C29" s="20" t="s">
        <v>177</v>
      </c>
      <c r="D29" s="15">
        <v>150</v>
      </c>
      <c r="E29" s="139"/>
    </row>
    <row r="30" spans="2:5" ht="36" x14ac:dyDescent="0.25">
      <c r="B30" s="37" t="s">
        <v>184</v>
      </c>
      <c r="C30" s="17" t="s">
        <v>156</v>
      </c>
      <c r="D30" s="15">
        <v>150</v>
      </c>
      <c r="E30" s="18">
        <v>150</v>
      </c>
    </row>
    <row r="31" spans="2:5" ht="35.25" x14ac:dyDescent="0.25">
      <c r="B31" s="37" t="s">
        <v>185</v>
      </c>
      <c r="C31" s="20" t="s">
        <v>29</v>
      </c>
      <c r="D31" s="15">
        <v>70</v>
      </c>
      <c r="E31" s="18">
        <v>70</v>
      </c>
    </row>
    <row r="32" spans="2:5" ht="36" x14ac:dyDescent="0.55000000000000004">
      <c r="B32" s="37" t="s">
        <v>186</v>
      </c>
      <c r="C32" s="45" t="s">
        <v>100</v>
      </c>
      <c r="D32" s="15">
        <v>80</v>
      </c>
      <c r="E32" s="139">
        <v>200</v>
      </c>
    </row>
    <row r="33" spans="2:5" ht="35.25" x14ac:dyDescent="0.25">
      <c r="B33" s="37"/>
      <c r="C33" s="20" t="s">
        <v>29</v>
      </c>
      <c r="D33" s="15">
        <v>40</v>
      </c>
      <c r="E33" s="139"/>
    </row>
    <row r="34" spans="2:5" ht="35.25" x14ac:dyDescent="0.25">
      <c r="B34" s="37"/>
      <c r="C34" s="20" t="s">
        <v>26</v>
      </c>
      <c r="D34" s="15">
        <v>80</v>
      </c>
      <c r="E34" s="139"/>
    </row>
    <row r="35" spans="2:5" ht="36" x14ac:dyDescent="0.55000000000000004">
      <c r="B35" s="37" t="s">
        <v>187</v>
      </c>
      <c r="C35" s="45" t="s">
        <v>100</v>
      </c>
      <c r="D35" s="15">
        <v>55</v>
      </c>
      <c r="E35" s="139">
        <v>732</v>
      </c>
    </row>
    <row r="36" spans="2:5" ht="36" x14ac:dyDescent="0.25">
      <c r="B36" s="37"/>
      <c r="C36" s="17" t="s">
        <v>156</v>
      </c>
      <c r="D36" s="15">
        <v>200</v>
      </c>
      <c r="E36" s="139"/>
    </row>
    <row r="37" spans="2:5" ht="36" x14ac:dyDescent="0.25">
      <c r="B37" s="37"/>
      <c r="C37" s="19" t="s">
        <v>20</v>
      </c>
      <c r="D37" s="15">
        <v>207</v>
      </c>
      <c r="E37" s="139"/>
    </row>
    <row r="38" spans="2:5" ht="71.25" x14ac:dyDescent="0.25">
      <c r="B38" s="37"/>
      <c r="C38" s="38" t="s">
        <v>106</v>
      </c>
      <c r="D38" s="15">
        <v>10</v>
      </c>
      <c r="E38" s="139"/>
    </row>
    <row r="39" spans="2:5" ht="35.25" x14ac:dyDescent="0.25">
      <c r="B39" s="37"/>
      <c r="C39" s="20" t="s">
        <v>29</v>
      </c>
      <c r="D39" s="15">
        <v>130</v>
      </c>
      <c r="E39" s="139"/>
    </row>
    <row r="40" spans="2:5" ht="36" thickBot="1" x14ac:dyDescent="0.3">
      <c r="B40" s="37"/>
      <c r="C40" s="20" t="s">
        <v>26</v>
      </c>
      <c r="D40" s="15">
        <v>130</v>
      </c>
      <c r="E40" s="135"/>
    </row>
    <row r="41" spans="2:5" ht="36.75" thickBot="1" x14ac:dyDescent="0.6">
      <c r="B41" s="37" t="s">
        <v>188</v>
      </c>
      <c r="C41" s="45" t="s">
        <v>100</v>
      </c>
      <c r="D41" s="40">
        <v>30</v>
      </c>
      <c r="E41" s="66">
        <v>30</v>
      </c>
    </row>
    <row r="42" spans="2:5" ht="36" x14ac:dyDescent="0.55000000000000004">
      <c r="B42" s="37" t="s">
        <v>189</v>
      </c>
      <c r="C42" s="45" t="s">
        <v>100</v>
      </c>
      <c r="D42" s="15">
        <v>100</v>
      </c>
      <c r="E42" s="166">
        <v>349</v>
      </c>
    </row>
    <row r="43" spans="2:5" ht="36" x14ac:dyDescent="0.25">
      <c r="B43" s="37"/>
      <c r="C43" s="30" t="s">
        <v>102</v>
      </c>
      <c r="D43" s="15">
        <v>80</v>
      </c>
      <c r="E43" s="138"/>
    </row>
    <row r="44" spans="2:5" ht="35.25" x14ac:dyDescent="0.25">
      <c r="B44" s="37"/>
      <c r="C44" s="17" t="s">
        <v>190</v>
      </c>
      <c r="D44" s="15">
        <v>29</v>
      </c>
      <c r="E44" s="138"/>
    </row>
    <row r="45" spans="2:5" ht="35.25" x14ac:dyDescent="0.25">
      <c r="B45" s="37"/>
      <c r="C45" s="20" t="s">
        <v>29</v>
      </c>
      <c r="D45" s="15">
        <v>70</v>
      </c>
      <c r="E45" s="138"/>
    </row>
    <row r="46" spans="2:5" ht="35.25" x14ac:dyDescent="0.25">
      <c r="B46" s="37"/>
      <c r="C46" s="20" t="s">
        <v>26</v>
      </c>
      <c r="D46" s="15">
        <v>70</v>
      </c>
      <c r="E46" s="138"/>
    </row>
    <row r="47" spans="2:5" ht="36" x14ac:dyDescent="0.55000000000000004">
      <c r="B47" s="37" t="s">
        <v>191</v>
      </c>
      <c r="C47" s="45" t="s">
        <v>100</v>
      </c>
      <c r="D47" s="15">
        <v>28</v>
      </c>
      <c r="E47" s="138">
        <v>758</v>
      </c>
    </row>
    <row r="48" spans="2:5" ht="36" x14ac:dyDescent="0.25">
      <c r="B48" s="37"/>
      <c r="C48" s="17" t="s">
        <v>156</v>
      </c>
      <c r="D48" s="15">
        <v>200</v>
      </c>
      <c r="E48" s="138"/>
    </row>
    <row r="49" spans="2:6" ht="35.25" x14ac:dyDescent="0.5">
      <c r="B49" s="13"/>
      <c r="C49" s="20" t="s">
        <v>29</v>
      </c>
      <c r="D49" s="60">
        <v>240</v>
      </c>
      <c r="E49" s="138"/>
    </row>
    <row r="50" spans="2:6" ht="35.25" x14ac:dyDescent="0.5">
      <c r="B50" s="13"/>
      <c r="C50" s="20" t="s">
        <v>26</v>
      </c>
      <c r="D50" s="60">
        <v>190</v>
      </c>
      <c r="E50" s="138"/>
    </row>
    <row r="51" spans="2:6" ht="35.25" x14ac:dyDescent="0.5">
      <c r="B51" s="13"/>
      <c r="C51" s="19" t="s">
        <v>178</v>
      </c>
      <c r="D51" s="60">
        <v>100</v>
      </c>
      <c r="E51" s="136"/>
    </row>
    <row r="52" spans="2:6" ht="36" x14ac:dyDescent="0.55000000000000004">
      <c r="B52" s="37" t="s">
        <v>192</v>
      </c>
      <c r="C52" s="45" t="s">
        <v>100</v>
      </c>
      <c r="D52" s="60">
        <v>29</v>
      </c>
      <c r="E52" s="135">
        <v>479</v>
      </c>
    </row>
    <row r="53" spans="2:6" ht="36" x14ac:dyDescent="0.5">
      <c r="B53" s="37"/>
      <c r="C53" s="17" t="s">
        <v>110</v>
      </c>
      <c r="D53" s="60">
        <v>100</v>
      </c>
      <c r="E53" s="138"/>
    </row>
    <row r="54" spans="2:6" ht="36" x14ac:dyDescent="0.5">
      <c r="B54" s="37"/>
      <c r="C54" s="19" t="s">
        <v>20</v>
      </c>
      <c r="D54" s="60">
        <v>350</v>
      </c>
      <c r="E54" s="136"/>
      <c r="F54" s="67">
        <v>5058</v>
      </c>
    </row>
    <row r="55" spans="2:6" ht="36" x14ac:dyDescent="0.55000000000000004">
      <c r="B55" s="37" t="s">
        <v>193</v>
      </c>
      <c r="C55" s="45" t="s">
        <v>100</v>
      </c>
      <c r="D55" s="60">
        <v>100</v>
      </c>
      <c r="E55" s="135">
        <v>250</v>
      </c>
    </row>
    <row r="56" spans="2:6" ht="35.25" x14ac:dyDescent="0.5">
      <c r="B56" s="37"/>
      <c r="C56" s="20" t="s">
        <v>29</v>
      </c>
      <c r="D56" s="60">
        <v>80</v>
      </c>
      <c r="E56" s="138"/>
    </row>
    <row r="57" spans="2:6" ht="35.25" x14ac:dyDescent="0.5">
      <c r="B57" s="37"/>
      <c r="C57" s="20" t="s">
        <v>26</v>
      </c>
      <c r="D57" s="60">
        <v>70</v>
      </c>
      <c r="E57" s="136"/>
    </row>
    <row r="58" spans="2:6" ht="36" x14ac:dyDescent="0.55000000000000004">
      <c r="B58" s="37" t="s">
        <v>194</v>
      </c>
      <c r="C58" s="45" t="s">
        <v>100</v>
      </c>
      <c r="D58" s="60">
        <v>100</v>
      </c>
      <c r="E58" s="135">
        <v>490</v>
      </c>
    </row>
    <row r="59" spans="2:6" ht="36" x14ac:dyDescent="0.5">
      <c r="B59" s="37"/>
      <c r="C59" s="17" t="s">
        <v>156</v>
      </c>
      <c r="D59" s="60">
        <v>200</v>
      </c>
      <c r="E59" s="138"/>
    </row>
    <row r="60" spans="2:6" ht="35.25" x14ac:dyDescent="0.5">
      <c r="B60" s="37"/>
      <c r="C60" s="20" t="s">
        <v>29</v>
      </c>
      <c r="D60" s="60">
        <v>110</v>
      </c>
      <c r="E60" s="138"/>
    </row>
    <row r="61" spans="2:6" ht="35.25" x14ac:dyDescent="0.5">
      <c r="B61" s="37"/>
      <c r="C61" s="20" t="s">
        <v>26</v>
      </c>
      <c r="D61" s="60">
        <v>80</v>
      </c>
      <c r="E61" s="136"/>
    </row>
    <row r="62" spans="2:6" ht="35.25" x14ac:dyDescent="0.5">
      <c r="B62" s="37" t="s">
        <v>195</v>
      </c>
      <c r="C62" s="20" t="s">
        <v>29</v>
      </c>
      <c r="D62" s="60">
        <v>110</v>
      </c>
      <c r="E62" s="135">
        <v>210</v>
      </c>
    </row>
    <row r="63" spans="2:6" ht="35.25" x14ac:dyDescent="0.5">
      <c r="B63" s="65"/>
      <c r="C63" s="20" t="s">
        <v>26</v>
      </c>
      <c r="D63" s="60">
        <v>100</v>
      </c>
      <c r="E63" s="136"/>
    </row>
    <row r="64" spans="2:6" ht="36" x14ac:dyDescent="0.55000000000000004">
      <c r="B64" s="37" t="s">
        <v>196</v>
      </c>
      <c r="C64" s="45" t="s">
        <v>100</v>
      </c>
      <c r="D64" s="60">
        <v>54</v>
      </c>
      <c r="E64" s="135">
        <v>554</v>
      </c>
    </row>
    <row r="65" spans="2:5" ht="36" x14ac:dyDescent="0.5">
      <c r="B65" s="65"/>
      <c r="C65" s="19" t="s">
        <v>20</v>
      </c>
      <c r="D65" s="60">
        <v>400</v>
      </c>
      <c r="E65" s="138"/>
    </row>
    <row r="66" spans="2:5" ht="35.25" x14ac:dyDescent="0.5">
      <c r="B66" s="65"/>
      <c r="C66" s="20" t="s">
        <v>26</v>
      </c>
      <c r="D66" s="60">
        <v>50</v>
      </c>
      <c r="E66" s="138"/>
    </row>
    <row r="67" spans="2:5" ht="35.25" x14ac:dyDescent="0.5">
      <c r="B67" s="65"/>
      <c r="C67" s="20" t="s">
        <v>29</v>
      </c>
      <c r="D67" s="60">
        <v>50</v>
      </c>
      <c r="E67" s="136"/>
    </row>
    <row r="68" spans="2:5" ht="36" x14ac:dyDescent="0.55000000000000004">
      <c r="B68" s="37" t="s">
        <v>197</v>
      </c>
      <c r="C68" s="45" t="s">
        <v>100</v>
      </c>
      <c r="D68" s="60">
        <v>100</v>
      </c>
      <c r="E68" s="135">
        <v>563</v>
      </c>
    </row>
    <row r="69" spans="2:5" ht="36" x14ac:dyDescent="0.5">
      <c r="B69" s="65"/>
      <c r="C69" s="17" t="s">
        <v>156</v>
      </c>
      <c r="D69" s="60">
        <v>153</v>
      </c>
      <c r="E69" s="138"/>
    </row>
    <row r="70" spans="2:5" ht="65.25" customHeight="1" x14ac:dyDescent="0.5">
      <c r="B70" s="65"/>
      <c r="C70" s="38" t="s">
        <v>198</v>
      </c>
      <c r="D70" s="18">
        <v>110</v>
      </c>
      <c r="E70" s="138"/>
    </row>
    <row r="71" spans="2:5" ht="35.25" x14ac:dyDescent="0.5">
      <c r="B71" s="65"/>
      <c r="C71" s="20" t="s">
        <v>26</v>
      </c>
      <c r="D71" s="60">
        <v>100</v>
      </c>
      <c r="E71" s="138"/>
    </row>
    <row r="72" spans="2:5" ht="35.25" x14ac:dyDescent="0.5">
      <c r="B72" s="65"/>
      <c r="C72" s="20" t="s">
        <v>29</v>
      </c>
      <c r="D72" s="60">
        <v>100</v>
      </c>
      <c r="E72" s="136"/>
    </row>
    <row r="73" spans="2:5" ht="36" x14ac:dyDescent="0.5">
      <c r="B73" s="37" t="s">
        <v>200</v>
      </c>
      <c r="C73" s="19" t="s">
        <v>20</v>
      </c>
      <c r="D73" s="60">
        <v>200</v>
      </c>
      <c r="E73" s="135">
        <v>380</v>
      </c>
    </row>
    <row r="74" spans="2:5" ht="35.25" x14ac:dyDescent="0.5">
      <c r="B74" s="37"/>
      <c r="C74" s="20" t="s">
        <v>29</v>
      </c>
      <c r="D74" s="60">
        <v>180</v>
      </c>
      <c r="E74" s="136"/>
    </row>
    <row r="75" spans="2:5" ht="36" x14ac:dyDescent="0.5">
      <c r="B75" s="37" t="s">
        <v>202</v>
      </c>
      <c r="C75" s="17" t="s">
        <v>156</v>
      </c>
      <c r="D75" s="60">
        <v>150</v>
      </c>
      <c r="E75" s="135">
        <v>160</v>
      </c>
    </row>
    <row r="76" spans="2:5" ht="36" x14ac:dyDescent="0.55000000000000004">
      <c r="B76" s="37"/>
      <c r="C76" s="45" t="s">
        <v>100</v>
      </c>
      <c r="D76" s="60">
        <v>10</v>
      </c>
      <c r="E76" s="136"/>
    </row>
    <row r="77" spans="2:5" ht="36" x14ac:dyDescent="0.55000000000000004">
      <c r="B77" s="37" t="s">
        <v>203</v>
      </c>
      <c r="C77" s="45" t="s">
        <v>100</v>
      </c>
      <c r="D77" s="60">
        <v>50</v>
      </c>
      <c r="E77" s="135">
        <v>220</v>
      </c>
    </row>
    <row r="78" spans="2:5" ht="36" x14ac:dyDescent="0.5">
      <c r="B78" s="37"/>
      <c r="C78" s="30" t="s">
        <v>102</v>
      </c>
      <c r="D78" s="60">
        <v>90</v>
      </c>
      <c r="E78" s="138"/>
    </row>
    <row r="79" spans="2:5" ht="35.25" x14ac:dyDescent="0.5">
      <c r="B79" s="37"/>
      <c r="C79" s="20" t="s">
        <v>29</v>
      </c>
      <c r="D79" s="60">
        <v>40</v>
      </c>
      <c r="E79" s="138"/>
    </row>
    <row r="80" spans="2:5" ht="35.25" x14ac:dyDescent="0.5">
      <c r="B80" s="37"/>
      <c r="C80" s="20" t="s">
        <v>26</v>
      </c>
      <c r="D80" s="60">
        <v>40</v>
      </c>
      <c r="E80" s="136"/>
    </row>
    <row r="81" spans="2:6" ht="36" x14ac:dyDescent="0.55000000000000004">
      <c r="B81" s="37" t="s">
        <v>204</v>
      </c>
      <c r="C81" s="45" t="s">
        <v>100</v>
      </c>
      <c r="D81" s="60">
        <v>54</v>
      </c>
      <c r="E81" s="135">
        <v>274</v>
      </c>
    </row>
    <row r="82" spans="2:6" ht="35.25" x14ac:dyDescent="0.5">
      <c r="B82" s="37"/>
      <c r="C82" s="20" t="s">
        <v>29</v>
      </c>
      <c r="D82" s="60">
        <v>110</v>
      </c>
      <c r="E82" s="138"/>
    </row>
    <row r="83" spans="2:6" ht="35.25" x14ac:dyDescent="0.5">
      <c r="B83" s="37"/>
      <c r="C83" s="20" t="s">
        <v>26</v>
      </c>
      <c r="D83" s="60">
        <v>110</v>
      </c>
      <c r="E83" s="136"/>
    </row>
    <row r="84" spans="2:6" ht="36" x14ac:dyDescent="0.5">
      <c r="B84" s="37" t="s">
        <v>205</v>
      </c>
      <c r="C84" s="17" t="s">
        <v>156</v>
      </c>
      <c r="D84" s="60">
        <v>100</v>
      </c>
      <c r="E84" s="135">
        <v>370</v>
      </c>
    </row>
    <row r="85" spans="2:6" ht="36" x14ac:dyDescent="0.5">
      <c r="B85" s="37"/>
      <c r="C85" s="30" t="s">
        <v>102</v>
      </c>
      <c r="D85" s="60">
        <v>56</v>
      </c>
      <c r="E85" s="138"/>
    </row>
    <row r="86" spans="2:6" ht="36" x14ac:dyDescent="0.5">
      <c r="B86" s="37"/>
      <c r="C86" s="19" t="s">
        <v>20</v>
      </c>
      <c r="D86" s="60">
        <v>64</v>
      </c>
      <c r="E86" s="138"/>
    </row>
    <row r="87" spans="2:6" ht="35.25" x14ac:dyDescent="0.5">
      <c r="B87" s="37"/>
      <c r="C87" s="20" t="s">
        <v>29</v>
      </c>
      <c r="D87" s="60">
        <v>70</v>
      </c>
      <c r="E87" s="138"/>
    </row>
    <row r="88" spans="2:6" ht="35.25" x14ac:dyDescent="0.5">
      <c r="B88" s="37"/>
      <c r="C88" s="20" t="s">
        <v>26</v>
      </c>
      <c r="D88" s="60">
        <v>80</v>
      </c>
      <c r="E88" s="136"/>
      <c r="F88" s="68">
        <v>8529</v>
      </c>
    </row>
    <row r="89" spans="2:6" ht="36" x14ac:dyDescent="0.5">
      <c r="B89" s="37" t="s">
        <v>210</v>
      </c>
      <c r="C89" s="17" t="s">
        <v>110</v>
      </c>
      <c r="D89" s="60">
        <v>28</v>
      </c>
      <c r="E89" s="135">
        <v>321</v>
      </c>
      <c r="F89" s="74"/>
    </row>
    <row r="90" spans="2:6" ht="36" x14ac:dyDescent="0.5">
      <c r="B90" s="37"/>
      <c r="C90" s="17" t="s">
        <v>156</v>
      </c>
      <c r="D90" s="60">
        <v>100</v>
      </c>
      <c r="E90" s="138"/>
      <c r="F90" s="74"/>
    </row>
    <row r="91" spans="2:6" ht="36" x14ac:dyDescent="0.5">
      <c r="B91" s="37"/>
      <c r="C91" s="30" t="s">
        <v>102</v>
      </c>
      <c r="D91" s="60">
        <v>53</v>
      </c>
      <c r="E91" s="138"/>
      <c r="F91" s="74"/>
    </row>
    <row r="92" spans="2:6" ht="35.25" x14ac:dyDescent="0.5">
      <c r="B92" s="37"/>
      <c r="C92" s="20" t="s">
        <v>29</v>
      </c>
      <c r="D92" s="60">
        <v>70</v>
      </c>
      <c r="E92" s="138"/>
      <c r="F92" s="74"/>
    </row>
    <row r="93" spans="2:6" ht="35.25" x14ac:dyDescent="0.5">
      <c r="B93" s="37"/>
      <c r="C93" s="20" t="s">
        <v>26</v>
      </c>
      <c r="D93" s="60">
        <v>70</v>
      </c>
      <c r="E93" s="136"/>
      <c r="F93" s="74"/>
    </row>
    <row r="94" spans="2:6" ht="36" x14ac:dyDescent="0.5">
      <c r="B94" s="37" t="s">
        <v>211</v>
      </c>
      <c r="C94" s="30" t="s">
        <v>102</v>
      </c>
      <c r="D94" s="60">
        <v>28</v>
      </c>
      <c r="E94" s="135">
        <v>602</v>
      </c>
      <c r="F94" s="74"/>
    </row>
    <row r="95" spans="2:6" ht="36" x14ac:dyDescent="0.5">
      <c r="B95" s="37"/>
      <c r="C95" s="19" t="s">
        <v>20</v>
      </c>
      <c r="D95" s="60">
        <v>400</v>
      </c>
      <c r="E95" s="138"/>
      <c r="F95" s="74"/>
    </row>
    <row r="96" spans="2:6" ht="71.25" x14ac:dyDescent="0.5">
      <c r="B96" s="37"/>
      <c r="C96" s="38" t="s">
        <v>106</v>
      </c>
      <c r="D96" s="60">
        <v>20</v>
      </c>
      <c r="E96" s="138"/>
      <c r="F96" s="74"/>
    </row>
    <row r="97" spans="2:6" ht="35.25" x14ac:dyDescent="0.5">
      <c r="B97" s="37"/>
      <c r="C97" s="20" t="s">
        <v>29</v>
      </c>
      <c r="D97" s="60">
        <v>77</v>
      </c>
      <c r="E97" s="138"/>
      <c r="F97" s="74"/>
    </row>
    <row r="98" spans="2:6" ht="35.25" x14ac:dyDescent="0.5">
      <c r="B98" s="65"/>
      <c r="C98" s="20" t="s">
        <v>26</v>
      </c>
      <c r="D98" s="60">
        <v>77</v>
      </c>
      <c r="E98" s="136"/>
    </row>
    <row r="99" spans="2:6" ht="36" x14ac:dyDescent="0.5">
      <c r="B99" s="65" t="s">
        <v>212</v>
      </c>
      <c r="C99" s="17" t="s">
        <v>156</v>
      </c>
      <c r="D99" s="60">
        <v>100</v>
      </c>
      <c r="E99" s="135">
        <v>228</v>
      </c>
    </row>
    <row r="100" spans="2:6" ht="36" x14ac:dyDescent="0.5">
      <c r="B100" s="65"/>
      <c r="C100" s="30" t="s">
        <v>102</v>
      </c>
      <c r="D100" s="60">
        <v>28</v>
      </c>
      <c r="E100" s="138"/>
    </row>
    <row r="101" spans="2:6" ht="35.25" x14ac:dyDescent="0.5">
      <c r="B101" s="65"/>
      <c r="C101" s="20" t="s">
        <v>29</v>
      </c>
      <c r="D101" s="60">
        <v>70</v>
      </c>
      <c r="E101" s="138"/>
    </row>
    <row r="102" spans="2:6" ht="35.25" x14ac:dyDescent="0.5">
      <c r="B102" s="65"/>
      <c r="C102" s="20" t="s">
        <v>26</v>
      </c>
      <c r="D102" s="60">
        <v>30</v>
      </c>
      <c r="E102" s="136"/>
    </row>
    <row r="103" spans="2:6" ht="36" x14ac:dyDescent="0.5">
      <c r="B103" s="65" t="s">
        <v>213</v>
      </c>
      <c r="C103" s="30" t="s">
        <v>102</v>
      </c>
      <c r="D103" s="60">
        <v>28</v>
      </c>
      <c r="E103" s="135">
        <v>78</v>
      </c>
    </row>
    <row r="104" spans="2:6" ht="36" thickBot="1" x14ac:dyDescent="0.55000000000000004">
      <c r="B104" s="65"/>
      <c r="C104" s="20" t="s">
        <v>29</v>
      </c>
      <c r="D104" s="60">
        <v>50</v>
      </c>
      <c r="E104" s="136"/>
    </row>
    <row r="105" spans="2:6" x14ac:dyDescent="0.25">
      <c r="B105" s="170" t="s">
        <v>223</v>
      </c>
      <c r="C105" s="153"/>
      <c r="D105" s="153"/>
      <c r="E105" s="154"/>
    </row>
    <row r="106" spans="2:6" ht="202.5" customHeight="1" thickBot="1" x14ac:dyDescent="0.3">
      <c r="B106" s="155"/>
      <c r="C106" s="156"/>
      <c r="D106" s="156"/>
      <c r="E106" s="157"/>
    </row>
  </sheetData>
  <mergeCells count="25">
    <mergeCell ref="E77:E80"/>
    <mergeCell ref="E89:E93"/>
    <mergeCell ref="E94:E98"/>
    <mergeCell ref="E62:E63"/>
    <mergeCell ref="E75:E76"/>
    <mergeCell ref="E73:E74"/>
    <mergeCell ref="E64:E67"/>
    <mergeCell ref="E68:E72"/>
    <mergeCell ref="E84:E88"/>
    <mergeCell ref="B105:E106"/>
    <mergeCell ref="E55:E57"/>
    <mergeCell ref="E81:E83"/>
    <mergeCell ref="E103:E104"/>
    <mergeCell ref="B5:E5"/>
    <mergeCell ref="E7:E15"/>
    <mergeCell ref="E20:E25"/>
    <mergeCell ref="E27:E29"/>
    <mergeCell ref="E52:E54"/>
    <mergeCell ref="E42:E46"/>
    <mergeCell ref="E47:E51"/>
    <mergeCell ref="E35:E40"/>
    <mergeCell ref="E32:E34"/>
    <mergeCell ref="E16:E19"/>
    <mergeCell ref="E99:E102"/>
    <mergeCell ref="E58:E61"/>
  </mergeCells>
  <pageMargins left="0.7" right="0.7" top="0.75" bottom="0.75" header="0.3" footer="0.3"/>
  <pageSetup paperSize="9" orientation="portrait" horizontalDpi="0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3:F13"/>
  <sheetViews>
    <sheetView workbookViewId="0">
      <selection activeCell="D10" sqref="D10"/>
    </sheetView>
  </sheetViews>
  <sheetFormatPr defaultRowHeight="15" x14ac:dyDescent="0.25"/>
  <cols>
    <col min="2" max="2" width="17.5703125" customWidth="1"/>
    <col min="3" max="3" width="37.7109375" customWidth="1"/>
    <col min="4" max="4" width="35.7109375" customWidth="1"/>
    <col min="5" max="5" width="26.7109375" customWidth="1"/>
    <col min="6" max="6" width="26" customWidth="1"/>
  </cols>
  <sheetData>
    <row r="3" spans="2:6" ht="15.75" thickBot="1" x14ac:dyDescent="0.3"/>
    <row r="4" spans="2:6" ht="69" customHeight="1" x14ac:dyDescent="0.25">
      <c r="B4" s="140" t="s">
        <v>222</v>
      </c>
      <c r="C4" s="141"/>
      <c r="D4" s="141"/>
      <c r="E4" s="141"/>
      <c r="F4" s="142"/>
    </row>
    <row r="5" spans="2:6" ht="32.25" thickBot="1" x14ac:dyDescent="0.3">
      <c r="B5" s="26" t="s">
        <v>2</v>
      </c>
      <c r="C5" s="27" t="s">
        <v>3</v>
      </c>
      <c r="D5" s="28" t="s">
        <v>4</v>
      </c>
      <c r="E5" s="11" t="s">
        <v>5</v>
      </c>
      <c r="F5" s="29" t="s">
        <v>6</v>
      </c>
    </row>
    <row r="6" spans="2:6" ht="28.5" x14ac:dyDescent="0.4">
      <c r="B6" s="6"/>
      <c r="C6" s="63"/>
      <c r="D6" s="8"/>
      <c r="E6" s="9"/>
      <c r="F6" s="10"/>
    </row>
    <row r="7" spans="2:6" ht="28.5" x14ac:dyDescent="0.45">
      <c r="B7" s="6"/>
      <c r="C7" s="7"/>
      <c r="D7" s="8"/>
      <c r="E7" s="9"/>
      <c r="F7" s="10"/>
    </row>
    <row r="8" spans="2:6" ht="28.5" x14ac:dyDescent="0.45">
      <c r="B8" s="6"/>
      <c r="C8" s="7"/>
      <c r="D8" s="8"/>
      <c r="E8" s="9"/>
      <c r="F8" s="10"/>
    </row>
    <row r="9" spans="2:6" ht="28.5" x14ac:dyDescent="0.45">
      <c r="B9" s="6"/>
      <c r="C9" s="7"/>
      <c r="D9" s="8"/>
      <c r="E9" s="9"/>
      <c r="F9" s="10"/>
    </row>
    <row r="10" spans="2:6" ht="28.5" x14ac:dyDescent="0.45">
      <c r="B10" s="6"/>
      <c r="C10" s="7"/>
      <c r="D10" s="8"/>
      <c r="E10" s="9"/>
      <c r="F10" s="10"/>
    </row>
    <row r="11" spans="2:6" ht="28.5" x14ac:dyDescent="0.45">
      <c r="B11" s="6"/>
      <c r="C11" s="7"/>
      <c r="D11" s="10"/>
      <c r="E11" s="9"/>
      <c r="F11" s="10"/>
    </row>
    <row r="12" spans="2:6" ht="48" customHeight="1" x14ac:dyDescent="0.25">
      <c r="B12" s="168" t="s">
        <v>12</v>
      </c>
      <c r="C12" s="168"/>
      <c r="D12" s="8"/>
      <c r="E12" s="48"/>
      <c r="F12" s="61"/>
    </row>
    <row r="13" spans="2:6" ht="40.5" customHeight="1" x14ac:dyDescent="0.25">
      <c r="B13" s="161" t="s">
        <v>13</v>
      </c>
      <c r="C13" s="162"/>
      <c r="D13" s="13"/>
      <c r="E13" s="13"/>
      <c r="F13" s="13"/>
    </row>
  </sheetData>
  <mergeCells count="3">
    <mergeCell ref="B4:F4"/>
    <mergeCell ref="B12:C12"/>
    <mergeCell ref="B13:C13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3:G115"/>
  <sheetViews>
    <sheetView topLeftCell="A109" zoomScale="80" zoomScaleNormal="80" workbookViewId="0">
      <selection activeCell="B114" sqref="B114:E115"/>
    </sheetView>
  </sheetViews>
  <sheetFormatPr defaultRowHeight="15" x14ac:dyDescent="0.25"/>
  <cols>
    <col min="2" max="2" width="27.85546875" customWidth="1"/>
    <col min="3" max="3" width="51" customWidth="1"/>
    <col min="4" max="4" width="40.140625" customWidth="1"/>
    <col min="5" max="5" width="34.140625" customWidth="1"/>
    <col min="6" max="6" width="15.28515625" customWidth="1"/>
    <col min="7" max="7" width="20.42578125" customWidth="1"/>
  </cols>
  <sheetData>
    <row r="3" spans="2:5" ht="15.75" thickBot="1" x14ac:dyDescent="0.3"/>
    <row r="4" spans="2:5" ht="61.5" customHeight="1" thickBot="1" x14ac:dyDescent="0.3">
      <c r="B4" s="125" t="s">
        <v>214</v>
      </c>
      <c r="C4" s="126"/>
      <c r="D4" s="126"/>
      <c r="E4" s="127"/>
    </row>
    <row r="5" spans="2:5" ht="30.75" x14ac:dyDescent="0.25">
      <c r="B5" s="14" t="s">
        <v>15</v>
      </c>
      <c r="C5" s="15" t="s">
        <v>16</v>
      </c>
      <c r="D5" s="15" t="s">
        <v>17</v>
      </c>
      <c r="E5" s="16" t="s">
        <v>18</v>
      </c>
    </row>
    <row r="6" spans="2:5" ht="35.25" x14ac:dyDescent="0.25">
      <c r="B6" s="37" t="s">
        <v>215</v>
      </c>
      <c r="C6" s="20" t="s">
        <v>29</v>
      </c>
      <c r="D6" s="15">
        <v>40</v>
      </c>
      <c r="E6" s="75">
        <v>40</v>
      </c>
    </row>
    <row r="7" spans="2:5" ht="36" x14ac:dyDescent="0.25">
      <c r="B7" s="37" t="s">
        <v>216</v>
      </c>
      <c r="C7" s="17" t="s">
        <v>156</v>
      </c>
      <c r="D7" s="15">
        <v>150</v>
      </c>
      <c r="E7" s="135">
        <v>668</v>
      </c>
    </row>
    <row r="8" spans="2:5" ht="36" x14ac:dyDescent="0.25">
      <c r="B8" s="37"/>
      <c r="C8" s="30" t="s">
        <v>102</v>
      </c>
      <c r="D8" s="15">
        <v>28</v>
      </c>
      <c r="E8" s="138"/>
    </row>
    <row r="9" spans="2:5" ht="36" x14ac:dyDescent="0.25">
      <c r="B9" s="37"/>
      <c r="C9" s="19" t="s">
        <v>20</v>
      </c>
      <c r="D9" s="15">
        <v>300</v>
      </c>
      <c r="E9" s="138"/>
    </row>
    <row r="10" spans="2:5" ht="35.25" x14ac:dyDescent="0.25">
      <c r="B10" s="37"/>
      <c r="C10" s="20" t="s">
        <v>29</v>
      </c>
      <c r="D10" s="15">
        <v>70</v>
      </c>
      <c r="E10" s="138"/>
    </row>
    <row r="11" spans="2:5" ht="35.25" x14ac:dyDescent="0.25">
      <c r="B11" s="37"/>
      <c r="C11" s="19" t="s">
        <v>169</v>
      </c>
      <c r="D11" s="15">
        <v>120</v>
      </c>
      <c r="E11" s="136"/>
    </row>
    <row r="12" spans="2:5" ht="36" x14ac:dyDescent="0.55000000000000004">
      <c r="B12" s="37" t="s">
        <v>217</v>
      </c>
      <c r="C12" s="45" t="s">
        <v>100</v>
      </c>
      <c r="D12" s="15">
        <v>50</v>
      </c>
      <c r="E12" s="135">
        <v>188</v>
      </c>
    </row>
    <row r="13" spans="2:5" ht="36" x14ac:dyDescent="0.25">
      <c r="B13" s="37"/>
      <c r="C13" s="30" t="s">
        <v>102</v>
      </c>
      <c r="D13" s="15">
        <v>60</v>
      </c>
      <c r="E13" s="138"/>
    </row>
    <row r="14" spans="2:5" ht="36" x14ac:dyDescent="0.25">
      <c r="B14" s="37"/>
      <c r="C14" s="17" t="s">
        <v>110</v>
      </c>
      <c r="D14" s="15">
        <v>28</v>
      </c>
      <c r="E14" s="138"/>
    </row>
    <row r="15" spans="2:5" ht="35.25" x14ac:dyDescent="0.25">
      <c r="B15" s="37"/>
      <c r="C15" s="20" t="s">
        <v>29</v>
      </c>
      <c r="D15" s="15">
        <v>50</v>
      </c>
      <c r="E15" s="136"/>
    </row>
    <row r="16" spans="2:5" ht="36" x14ac:dyDescent="0.25">
      <c r="B16" s="37" t="s">
        <v>218</v>
      </c>
      <c r="C16" s="17" t="s">
        <v>110</v>
      </c>
      <c r="D16" s="15">
        <v>28</v>
      </c>
      <c r="E16" s="135">
        <v>816</v>
      </c>
    </row>
    <row r="17" spans="2:5" ht="36" x14ac:dyDescent="0.55000000000000004">
      <c r="B17" s="37"/>
      <c r="C17" s="45" t="s">
        <v>100</v>
      </c>
      <c r="D17" s="15">
        <v>28</v>
      </c>
      <c r="E17" s="138"/>
    </row>
    <row r="18" spans="2:5" ht="36" x14ac:dyDescent="0.25">
      <c r="B18" s="37"/>
      <c r="C18" s="19" t="s">
        <v>20</v>
      </c>
      <c r="D18" s="15">
        <v>400</v>
      </c>
      <c r="E18" s="138"/>
    </row>
    <row r="19" spans="2:5" ht="35.25" x14ac:dyDescent="0.25">
      <c r="B19" s="37"/>
      <c r="C19" s="20" t="s">
        <v>29</v>
      </c>
      <c r="D19" s="15">
        <v>60</v>
      </c>
      <c r="E19" s="138"/>
    </row>
    <row r="20" spans="2:5" ht="35.25" x14ac:dyDescent="0.25">
      <c r="B20" s="37"/>
      <c r="C20" s="19" t="s">
        <v>169</v>
      </c>
      <c r="D20" s="15">
        <v>150</v>
      </c>
      <c r="E20" s="138"/>
    </row>
    <row r="21" spans="2:5" ht="35.25" x14ac:dyDescent="0.5">
      <c r="B21" s="37"/>
      <c r="C21" s="19" t="s">
        <v>178</v>
      </c>
      <c r="D21" s="60">
        <v>150</v>
      </c>
      <c r="E21" s="136"/>
    </row>
    <row r="22" spans="2:5" ht="36" x14ac:dyDescent="0.55000000000000004">
      <c r="B22" s="37" t="s">
        <v>219</v>
      </c>
      <c r="C22" s="45" t="s">
        <v>100</v>
      </c>
      <c r="D22" s="15">
        <v>28</v>
      </c>
      <c r="E22" s="135">
        <v>98</v>
      </c>
    </row>
    <row r="23" spans="2:5" ht="35.25" x14ac:dyDescent="0.25">
      <c r="B23" s="37"/>
      <c r="C23" s="20" t="s">
        <v>29</v>
      </c>
      <c r="D23" s="15">
        <v>70</v>
      </c>
      <c r="E23" s="136"/>
    </row>
    <row r="24" spans="2:5" ht="36" x14ac:dyDescent="0.55000000000000004">
      <c r="B24" s="37" t="s">
        <v>220</v>
      </c>
      <c r="C24" s="45" t="s">
        <v>100</v>
      </c>
      <c r="D24" s="15">
        <v>70</v>
      </c>
      <c r="E24" s="135">
        <v>338</v>
      </c>
    </row>
    <row r="25" spans="2:5" ht="36" x14ac:dyDescent="0.25">
      <c r="B25" s="37"/>
      <c r="C25" s="17" t="s">
        <v>156</v>
      </c>
      <c r="D25" s="15">
        <v>100</v>
      </c>
      <c r="E25" s="138"/>
    </row>
    <row r="26" spans="2:5" ht="36" x14ac:dyDescent="0.25">
      <c r="B26" s="37"/>
      <c r="C26" s="30" t="s">
        <v>102</v>
      </c>
      <c r="D26" s="15">
        <v>28</v>
      </c>
      <c r="E26" s="138"/>
    </row>
    <row r="27" spans="2:5" ht="35.25" x14ac:dyDescent="0.25">
      <c r="B27" s="37"/>
      <c r="C27" s="20" t="s">
        <v>29</v>
      </c>
      <c r="D27" s="15">
        <v>70</v>
      </c>
      <c r="E27" s="138"/>
    </row>
    <row r="28" spans="2:5" ht="35.25" x14ac:dyDescent="0.25">
      <c r="B28" s="37"/>
      <c r="C28" s="20" t="s">
        <v>26</v>
      </c>
      <c r="D28" s="15">
        <v>70</v>
      </c>
      <c r="E28" s="136"/>
    </row>
    <row r="29" spans="2:5" ht="35.25" x14ac:dyDescent="0.25">
      <c r="B29" s="37" t="s">
        <v>221</v>
      </c>
      <c r="C29" s="20" t="s">
        <v>29</v>
      </c>
      <c r="D29" s="15">
        <v>50</v>
      </c>
      <c r="E29" s="135">
        <v>222</v>
      </c>
    </row>
    <row r="30" spans="2:5" ht="35.25" x14ac:dyDescent="0.25">
      <c r="B30" s="37"/>
      <c r="C30" s="20" t="s">
        <v>26</v>
      </c>
      <c r="D30" s="15">
        <v>50</v>
      </c>
      <c r="E30" s="138"/>
    </row>
    <row r="31" spans="2:5" ht="35.25" x14ac:dyDescent="0.25">
      <c r="B31" s="37"/>
      <c r="C31" s="19" t="s">
        <v>169</v>
      </c>
      <c r="D31" s="15">
        <v>122</v>
      </c>
      <c r="E31" s="136"/>
    </row>
    <row r="32" spans="2:5" ht="36" x14ac:dyDescent="0.55000000000000004">
      <c r="B32" s="37" t="s">
        <v>224</v>
      </c>
      <c r="C32" s="45" t="s">
        <v>100</v>
      </c>
      <c r="D32" s="15">
        <v>50</v>
      </c>
      <c r="E32" s="135">
        <v>228</v>
      </c>
    </row>
    <row r="33" spans="2:5" ht="36" x14ac:dyDescent="0.25">
      <c r="B33" s="37"/>
      <c r="C33" s="30" t="s">
        <v>102</v>
      </c>
      <c r="D33" s="15">
        <v>28</v>
      </c>
      <c r="E33" s="138"/>
    </row>
    <row r="34" spans="2:5" ht="60.75" customHeight="1" x14ac:dyDescent="0.25">
      <c r="B34" s="37"/>
      <c r="C34" s="38" t="s">
        <v>106</v>
      </c>
      <c r="D34" s="15">
        <v>10</v>
      </c>
      <c r="E34" s="138"/>
    </row>
    <row r="35" spans="2:5" ht="35.25" x14ac:dyDescent="0.25">
      <c r="B35" s="37"/>
      <c r="C35" s="20" t="s">
        <v>29</v>
      </c>
      <c r="D35" s="15">
        <v>70</v>
      </c>
      <c r="E35" s="138"/>
    </row>
    <row r="36" spans="2:5" ht="35.25" x14ac:dyDescent="0.25">
      <c r="B36" s="37"/>
      <c r="C36" s="20" t="s">
        <v>26</v>
      </c>
      <c r="D36" s="15">
        <v>70</v>
      </c>
      <c r="E36" s="136"/>
    </row>
    <row r="37" spans="2:5" ht="36" x14ac:dyDescent="0.25">
      <c r="B37" s="37" t="s">
        <v>225</v>
      </c>
      <c r="C37" s="17" t="s">
        <v>110</v>
      </c>
      <c r="D37" s="15">
        <v>50</v>
      </c>
      <c r="E37" s="135">
        <v>726</v>
      </c>
    </row>
    <row r="38" spans="2:5" ht="36" x14ac:dyDescent="0.25">
      <c r="B38" s="37"/>
      <c r="C38" s="17" t="s">
        <v>156</v>
      </c>
      <c r="D38" s="15">
        <v>100</v>
      </c>
      <c r="E38" s="138"/>
    </row>
    <row r="39" spans="2:5" ht="36" x14ac:dyDescent="0.55000000000000004">
      <c r="B39" s="37"/>
      <c r="C39" s="45" t="s">
        <v>100</v>
      </c>
      <c r="D39" s="15">
        <v>50</v>
      </c>
      <c r="E39" s="138"/>
    </row>
    <row r="40" spans="2:5" ht="36" x14ac:dyDescent="0.25">
      <c r="B40" s="37"/>
      <c r="C40" s="30" t="s">
        <v>102</v>
      </c>
      <c r="D40" s="15">
        <v>86</v>
      </c>
      <c r="E40" s="138"/>
    </row>
    <row r="41" spans="2:5" ht="36" x14ac:dyDescent="0.25">
      <c r="B41" s="37"/>
      <c r="C41" s="19" t="s">
        <v>20</v>
      </c>
      <c r="D41" s="15">
        <v>110</v>
      </c>
      <c r="E41" s="138"/>
    </row>
    <row r="42" spans="2:5" ht="35.25" x14ac:dyDescent="0.25">
      <c r="B42" s="37"/>
      <c r="C42" s="20" t="s">
        <v>29</v>
      </c>
      <c r="D42" s="15">
        <v>90</v>
      </c>
      <c r="E42" s="138"/>
    </row>
    <row r="43" spans="2:5" ht="35.25" x14ac:dyDescent="0.25">
      <c r="B43" s="37"/>
      <c r="C43" s="20" t="s">
        <v>26</v>
      </c>
      <c r="D43" s="15">
        <v>90</v>
      </c>
      <c r="E43" s="138"/>
    </row>
    <row r="44" spans="2:5" ht="35.25" x14ac:dyDescent="0.25">
      <c r="B44" s="37"/>
      <c r="C44" s="19" t="s">
        <v>169</v>
      </c>
      <c r="D44" s="15">
        <v>150</v>
      </c>
      <c r="E44" s="136"/>
    </row>
    <row r="45" spans="2:5" ht="36" x14ac:dyDescent="0.55000000000000004">
      <c r="B45" s="24" t="s">
        <v>226</v>
      </c>
      <c r="C45" s="45" t="s">
        <v>100</v>
      </c>
      <c r="D45" s="15">
        <v>30</v>
      </c>
      <c r="E45" s="135">
        <v>550</v>
      </c>
    </row>
    <row r="46" spans="2:5" ht="36" x14ac:dyDescent="0.25">
      <c r="B46" s="37"/>
      <c r="C46" s="30" t="s">
        <v>102</v>
      </c>
      <c r="D46" s="15">
        <v>60</v>
      </c>
      <c r="E46" s="138"/>
    </row>
    <row r="47" spans="2:5" ht="36" x14ac:dyDescent="0.25">
      <c r="B47" s="37"/>
      <c r="C47" s="19" t="s">
        <v>20</v>
      </c>
      <c r="D47" s="15">
        <v>120</v>
      </c>
      <c r="E47" s="138"/>
    </row>
    <row r="48" spans="2:5" ht="71.25" x14ac:dyDescent="0.25">
      <c r="B48" s="37"/>
      <c r="C48" s="38" t="s">
        <v>106</v>
      </c>
      <c r="D48" s="15">
        <v>10</v>
      </c>
      <c r="E48" s="138"/>
    </row>
    <row r="49" spans="2:5" ht="35.25" x14ac:dyDescent="0.25">
      <c r="B49" s="37"/>
      <c r="C49" s="20" t="s">
        <v>29</v>
      </c>
      <c r="D49" s="15">
        <v>110</v>
      </c>
      <c r="E49" s="138"/>
    </row>
    <row r="50" spans="2:5" ht="35.25" x14ac:dyDescent="0.25">
      <c r="B50" s="37"/>
      <c r="C50" s="20" t="s">
        <v>26</v>
      </c>
      <c r="D50" s="15">
        <v>120</v>
      </c>
      <c r="E50" s="138"/>
    </row>
    <row r="51" spans="2:5" ht="35.25" x14ac:dyDescent="0.25">
      <c r="B51" s="37"/>
      <c r="C51" s="19" t="s">
        <v>169</v>
      </c>
      <c r="D51" s="15">
        <v>100</v>
      </c>
      <c r="E51" s="136"/>
    </row>
    <row r="52" spans="2:5" ht="36" x14ac:dyDescent="0.55000000000000004">
      <c r="B52" s="24" t="s">
        <v>227</v>
      </c>
      <c r="C52" s="45" t="s">
        <v>100</v>
      </c>
      <c r="D52" s="15">
        <v>50</v>
      </c>
      <c r="E52" s="135">
        <v>540</v>
      </c>
    </row>
    <row r="53" spans="2:5" ht="36" x14ac:dyDescent="0.25">
      <c r="B53" s="37"/>
      <c r="C53" s="30" t="s">
        <v>102</v>
      </c>
      <c r="D53" s="15">
        <v>50</v>
      </c>
      <c r="E53" s="138"/>
    </row>
    <row r="54" spans="2:5" ht="36" x14ac:dyDescent="0.25">
      <c r="B54" s="37"/>
      <c r="C54" s="17" t="s">
        <v>156</v>
      </c>
      <c r="D54" s="15">
        <v>50</v>
      </c>
      <c r="E54" s="138"/>
    </row>
    <row r="55" spans="2:5" ht="36" x14ac:dyDescent="0.25">
      <c r="B55" s="37"/>
      <c r="C55" s="19" t="s">
        <v>20</v>
      </c>
      <c r="D55" s="15">
        <v>200</v>
      </c>
      <c r="E55" s="138"/>
    </row>
    <row r="56" spans="2:5" ht="71.25" x14ac:dyDescent="0.25">
      <c r="B56" s="37"/>
      <c r="C56" s="38" t="s">
        <v>106</v>
      </c>
      <c r="D56" s="15">
        <v>20</v>
      </c>
      <c r="E56" s="138"/>
    </row>
    <row r="57" spans="2:5" ht="35.25" x14ac:dyDescent="0.25">
      <c r="B57" s="37"/>
      <c r="C57" s="20" t="s">
        <v>29</v>
      </c>
      <c r="D57" s="15">
        <v>110</v>
      </c>
      <c r="E57" s="138"/>
    </row>
    <row r="58" spans="2:5" ht="35.25" x14ac:dyDescent="0.25">
      <c r="B58" s="37"/>
      <c r="C58" s="20" t="s">
        <v>26</v>
      </c>
      <c r="D58" s="15">
        <v>60</v>
      </c>
      <c r="E58" s="136"/>
    </row>
    <row r="59" spans="2:5" ht="36" x14ac:dyDescent="0.55000000000000004">
      <c r="B59" s="37" t="s">
        <v>228</v>
      </c>
      <c r="C59" s="45" t="s">
        <v>100</v>
      </c>
      <c r="D59" s="15">
        <v>50</v>
      </c>
      <c r="E59" s="135">
        <v>500</v>
      </c>
    </row>
    <row r="60" spans="2:5" ht="36" x14ac:dyDescent="0.25">
      <c r="B60" s="37"/>
      <c r="C60" s="17" t="s">
        <v>156</v>
      </c>
      <c r="D60" s="15">
        <v>50</v>
      </c>
      <c r="E60" s="138"/>
    </row>
    <row r="61" spans="2:5" ht="36" x14ac:dyDescent="0.25">
      <c r="B61" s="37"/>
      <c r="C61" s="30" t="s">
        <v>102</v>
      </c>
      <c r="D61" s="15">
        <v>60</v>
      </c>
      <c r="E61" s="138"/>
    </row>
    <row r="62" spans="2:5" ht="36" x14ac:dyDescent="0.25">
      <c r="B62" s="37"/>
      <c r="C62" s="19" t="s">
        <v>20</v>
      </c>
      <c r="D62" s="15">
        <v>200</v>
      </c>
      <c r="E62" s="138"/>
    </row>
    <row r="63" spans="2:5" ht="35.25" x14ac:dyDescent="0.25">
      <c r="B63" s="37"/>
      <c r="C63" s="20" t="s">
        <v>29</v>
      </c>
      <c r="D63" s="15">
        <v>70</v>
      </c>
      <c r="E63" s="138"/>
    </row>
    <row r="64" spans="2:5" ht="35.25" x14ac:dyDescent="0.25">
      <c r="B64" s="37"/>
      <c r="C64" s="20" t="s">
        <v>26</v>
      </c>
      <c r="D64" s="15">
        <v>70</v>
      </c>
      <c r="E64" s="136"/>
    </row>
    <row r="65" spans="2:7" ht="36" x14ac:dyDescent="0.55000000000000004">
      <c r="B65" s="37" t="s">
        <v>229</v>
      </c>
      <c r="C65" s="45" t="s">
        <v>100</v>
      </c>
      <c r="D65" s="15">
        <v>50</v>
      </c>
      <c r="E65" s="18">
        <v>50</v>
      </c>
    </row>
    <row r="66" spans="2:7" ht="36" x14ac:dyDescent="0.25">
      <c r="B66" s="37" t="s">
        <v>230</v>
      </c>
      <c r="C66" s="17" t="s">
        <v>156</v>
      </c>
      <c r="D66" s="15">
        <v>40</v>
      </c>
      <c r="E66" s="135">
        <v>100</v>
      </c>
    </row>
    <row r="67" spans="2:7" ht="35.25" x14ac:dyDescent="0.25">
      <c r="B67" s="37" t="s">
        <v>231</v>
      </c>
      <c r="C67" s="19" t="s">
        <v>169</v>
      </c>
      <c r="D67" s="15">
        <v>30</v>
      </c>
      <c r="E67" s="138"/>
    </row>
    <row r="68" spans="2:7" ht="36.75" thickBot="1" x14ac:dyDescent="0.3">
      <c r="B68" s="37"/>
      <c r="C68" s="77" t="s">
        <v>232</v>
      </c>
      <c r="D68" s="15">
        <v>30</v>
      </c>
      <c r="E68" s="138"/>
    </row>
    <row r="69" spans="2:7" ht="36" x14ac:dyDescent="0.55000000000000004">
      <c r="B69" s="37" t="s">
        <v>233</v>
      </c>
      <c r="C69" s="45" t="s">
        <v>100</v>
      </c>
      <c r="D69" s="40">
        <v>50</v>
      </c>
      <c r="E69" s="163">
        <v>360</v>
      </c>
      <c r="G69" t="s">
        <v>231</v>
      </c>
    </row>
    <row r="70" spans="2:7" ht="36" x14ac:dyDescent="0.25">
      <c r="B70" s="37"/>
      <c r="C70" s="17" t="s">
        <v>156</v>
      </c>
      <c r="D70" s="40">
        <v>100</v>
      </c>
      <c r="E70" s="165"/>
    </row>
    <row r="71" spans="2:7" ht="36" x14ac:dyDescent="0.25">
      <c r="B71" s="37"/>
      <c r="C71" s="30" t="s">
        <v>102</v>
      </c>
      <c r="D71" s="40">
        <v>30</v>
      </c>
      <c r="E71" s="165"/>
    </row>
    <row r="72" spans="2:7" ht="71.25" x14ac:dyDescent="0.25">
      <c r="B72" s="37"/>
      <c r="C72" s="38" t="s">
        <v>106</v>
      </c>
      <c r="D72" s="40">
        <v>10</v>
      </c>
      <c r="E72" s="165"/>
    </row>
    <row r="73" spans="2:7" ht="35.25" x14ac:dyDescent="0.25">
      <c r="B73" s="37"/>
      <c r="C73" s="20" t="s">
        <v>26</v>
      </c>
      <c r="D73" s="40">
        <v>70</v>
      </c>
      <c r="E73" s="165"/>
    </row>
    <row r="74" spans="2:7" ht="35.25" x14ac:dyDescent="0.25">
      <c r="B74" s="37"/>
      <c r="C74" s="19" t="s">
        <v>169</v>
      </c>
      <c r="D74" s="78">
        <v>100</v>
      </c>
      <c r="E74" s="165"/>
    </row>
    <row r="75" spans="2:7" ht="36" x14ac:dyDescent="0.55000000000000004">
      <c r="B75" s="37" t="s">
        <v>234</v>
      </c>
      <c r="C75" s="45" t="s">
        <v>100</v>
      </c>
      <c r="D75" s="15">
        <v>50</v>
      </c>
      <c r="E75" s="139">
        <v>180</v>
      </c>
    </row>
    <row r="76" spans="2:7" ht="36" x14ac:dyDescent="0.25">
      <c r="B76" s="37"/>
      <c r="C76" s="30" t="s">
        <v>102</v>
      </c>
      <c r="D76" s="15">
        <v>30</v>
      </c>
      <c r="E76" s="139"/>
    </row>
    <row r="77" spans="2:7" ht="35.25" x14ac:dyDescent="0.25">
      <c r="B77" s="37"/>
      <c r="C77" s="19" t="s">
        <v>169</v>
      </c>
      <c r="D77" s="15">
        <v>100</v>
      </c>
      <c r="E77" s="139"/>
      <c r="F77" s="79" t="s">
        <v>231</v>
      </c>
    </row>
    <row r="78" spans="2:7" ht="36" x14ac:dyDescent="0.55000000000000004">
      <c r="B78" s="37" t="s">
        <v>235</v>
      </c>
      <c r="C78" s="45" t="s">
        <v>100</v>
      </c>
      <c r="D78" s="15">
        <v>50</v>
      </c>
      <c r="E78" s="135">
        <v>210</v>
      </c>
    </row>
    <row r="79" spans="2:7" ht="36" x14ac:dyDescent="0.25">
      <c r="B79" s="37"/>
      <c r="C79" s="17" t="s">
        <v>156</v>
      </c>
      <c r="D79" s="15">
        <v>30</v>
      </c>
      <c r="E79" s="138"/>
    </row>
    <row r="80" spans="2:7" ht="36" x14ac:dyDescent="0.25">
      <c r="B80" s="37"/>
      <c r="C80" s="19" t="s">
        <v>20</v>
      </c>
      <c r="D80" s="15">
        <v>60</v>
      </c>
      <c r="E80" s="138"/>
    </row>
    <row r="81" spans="2:7" ht="71.25" x14ac:dyDescent="0.25">
      <c r="B81" s="37"/>
      <c r="C81" s="38" t="s">
        <v>106</v>
      </c>
      <c r="D81" s="15">
        <v>10</v>
      </c>
      <c r="E81" s="138"/>
      <c r="F81" t="s">
        <v>231</v>
      </c>
    </row>
    <row r="82" spans="2:7" ht="35.25" x14ac:dyDescent="0.25">
      <c r="B82" s="37"/>
      <c r="C82" s="19" t="s">
        <v>169</v>
      </c>
      <c r="D82" s="15">
        <v>60</v>
      </c>
      <c r="E82" s="136"/>
      <c r="F82" t="s">
        <v>231</v>
      </c>
    </row>
    <row r="83" spans="2:7" ht="36" x14ac:dyDescent="0.55000000000000004">
      <c r="B83" s="37" t="s">
        <v>236</v>
      </c>
      <c r="C83" s="45" t="s">
        <v>100</v>
      </c>
      <c r="D83" s="15">
        <v>60</v>
      </c>
      <c r="E83" s="135">
        <v>796.82</v>
      </c>
    </row>
    <row r="84" spans="2:7" ht="36" x14ac:dyDescent="0.25">
      <c r="B84" s="37"/>
      <c r="C84" s="17" t="s">
        <v>156</v>
      </c>
      <c r="D84" s="15">
        <v>290.8</v>
      </c>
      <c r="E84" s="138"/>
    </row>
    <row r="85" spans="2:7" ht="36" x14ac:dyDescent="0.25">
      <c r="B85" s="37"/>
      <c r="C85" s="19" t="s">
        <v>20</v>
      </c>
      <c r="D85" s="15">
        <v>360</v>
      </c>
      <c r="E85" s="138"/>
    </row>
    <row r="86" spans="2:7" ht="71.25" x14ac:dyDescent="0.25">
      <c r="B86" s="37"/>
      <c r="C86" s="38" t="s">
        <v>106</v>
      </c>
      <c r="D86" s="15">
        <v>36.020000000000003</v>
      </c>
      <c r="E86" s="138"/>
      <c r="G86" t="s">
        <v>231</v>
      </c>
    </row>
    <row r="87" spans="2:7" ht="35.25" x14ac:dyDescent="0.25">
      <c r="B87" s="37"/>
      <c r="C87" s="20" t="s">
        <v>26</v>
      </c>
      <c r="D87" s="15">
        <v>50</v>
      </c>
      <c r="E87" s="136"/>
      <c r="F87" t="s">
        <v>231</v>
      </c>
    </row>
    <row r="88" spans="2:7" ht="36" x14ac:dyDescent="0.55000000000000004">
      <c r="B88" s="37" t="s">
        <v>237</v>
      </c>
      <c r="C88" s="45" t="s">
        <v>100</v>
      </c>
      <c r="D88" s="15">
        <v>100</v>
      </c>
      <c r="E88" s="23">
        <v>100</v>
      </c>
      <c r="F88" s="80" t="s">
        <v>231</v>
      </c>
    </row>
    <row r="89" spans="2:7" ht="36" x14ac:dyDescent="0.35">
      <c r="B89" s="37" t="s">
        <v>238</v>
      </c>
      <c r="C89" s="19" t="s">
        <v>20</v>
      </c>
      <c r="D89" s="15">
        <v>250</v>
      </c>
      <c r="E89" s="23">
        <v>250</v>
      </c>
      <c r="F89" s="81" t="s">
        <v>231</v>
      </c>
    </row>
    <row r="90" spans="2:7" ht="36" x14ac:dyDescent="0.35">
      <c r="B90" s="37" t="s">
        <v>239</v>
      </c>
      <c r="C90" s="17" t="s">
        <v>156</v>
      </c>
      <c r="D90" s="15">
        <v>179.96</v>
      </c>
      <c r="E90" s="23">
        <v>179.96</v>
      </c>
      <c r="F90" s="82" t="s">
        <v>231</v>
      </c>
      <c r="G90" t="s">
        <v>231</v>
      </c>
    </row>
    <row r="91" spans="2:7" ht="36" x14ac:dyDescent="0.55000000000000004">
      <c r="B91" s="37" t="s">
        <v>240</v>
      </c>
      <c r="C91" s="45" t="s">
        <v>100</v>
      </c>
      <c r="D91" s="15">
        <v>70</v>
      </c>
      <c r="E91" s="135">
        <v>185</v>
      </c>
      <c r="F91" s="82"/>
    </row>
    <row r="92" spans="2:7" ht="36" x14ac:dyDescent="0.35">
      <c r="B92" s="37"/>
      <c r="C92" s="30" t="s">
        <v>102</v>
      </c>
      <c r="D92" s="15">
        <v>25</v>
      </c>
      <c r="E92" s="138"/>
      <c r="F92" s="82"/>
    </row>
    <row r="93" spans="2:7" ht="71.25" x14ac:dyDescent="0.35">
      <c r="B93" s="37"/>
      <c r="C93" s="38" t="s">
        <v>106</v>
      </c>
      <c r="D93" s="15">
        <v>20</v>
      </c>
      <c r="E93" s="138"/>
      <c r="F93" s="82" t="s">
        <v>231</v>
      </c>
    </row>
    <row r="94" spans="2:7" ht="35.25" x14ac:dyDescent="0.35">
      <c r="B94" s="37"/>
      <c r="C94" s="20" t="s">
        <v>26</v>
      </c>
      <c r="D94" s="15">
        <v>70</v>
      </c>
      <c r="E94" s="136"/>
      <c r="F94" s="82" t="s">
        <v>231</v>
      </c>
    </row>
    <row r="95" spans="2:7" ht="36" x14ac:dyDescent="0.55000000000000004">
      <c r="B95" s="37" t="s">
        <v>241</v>
      </c>
      <c r="C95" s="45" t="s">
        <v>100</v>
      </c>
      <c r="D95" s="15">
        <v>70</v>
      </c>
      <c r="E95" s="135">
        <v>448</v>
      </c>
      <c r="F95" s="82"/>
    </row>
    <row r="96" spans="2:7" ht="36" x14ac:dyDescent="0.35">
      <c r="B96" s="37"/>
      <c r="C96" s="19" t="s">
        <v>20</v>
      </c>
      <c r="D96" s="15">
        <v>200</v>
      </c>
      <c r="E96" s="138"/>
      <c r="F96" s="82"/>
    </row>
    <row r="97" spans="2:7" ht="36" x14ac:dyDescent="0.25">
      <c r="B97" s="37"/>
      <c r="C97" s="30" t="s">
        <v>102</v>
      </c>
      <c r="D97" s="15">
        <v>8</v>
      </c>
      <c r="E97" s="138"/>
    </row>
    <row r="98" spans="2:7" ht="35.25" x14ac:dyDescent="0.35">
      <c r="B98" s="37"/>
      <c r="C98" s="19" t="s">
        <v>169</v>
      </c>
      <c r="D98" s="15">
        <v>150</v>
      </c>
      <c r="E98" s="136"/>
      <c r="F98" s="82" t="s">
        <v>231</v>
      </c>
      <c r="G98" t="s">
        <v>231</v>
      </c>
    </row>
    <row r="99" spans="2:7" ht="36" x14ac:dyDescent="0.25">
      <c r="B99" s="37" t="s">
        <v>242</v>
      </c>
      <c r="C99" s="19" t="s">
        <v>20</v>
      </c>
      <c r="D99" s="15">
        <v>155</v>
      </c>
      <c r="E99" s="135">
        <v>237.2</v>
      </c>
    </row>
    <row r="100" spans="2:7" ht="35.25" x14ac:dyDescent="0.25">
      <c r="B100" s="37"/>
      <c r="C100" s="19" t="s">
        <v>169</v>
      </c>
      <c r="D100" s="15">
        <v>50.2</v>
      </c>
      <c r="E100" s="138"/>
    </row>
    <row r="101" spans="2:7" ht="71.25" x14ac:dyDescent="0.25">
      <c r="B101" s="37"/>
      <c r="C101" s="38" t="s">
        <v>106</v>
      </c>
      <c r="D101" s="15">
        <v>32</v>
      </c>
      <c r="E101" s="136"/>
      <c r="F101" t="s">
        <v>231</v>
      </c>
      <c r="G101" t="s">
        <v>231</v>
      </c>
    </row>
    <row r="102" spans="2:7" ht="36" x14ac:dyDescent="0.25">
      <c r="B102" s="37" t="s">
        <v>243</v>
      </c>
      <c r="C102" s="17" t="s">
        <v>156</v>
      </c>
      <c r="D102" s="15">
        <v>240</v>
      </c>
      <c r="E102" s="135">
        <v>670</v>
      </c>
    </row>
    <row r="103" spans="2:7" ht="36" x14ac:dyDescent="0.55000000000000004">
      <c r="B103" s="37"/>
      <c r="C103" s="45" t="s">
        <v>100</v>
      </c>
      <c r="D103" s="15">
        <v>140</v>
      </c>
      <c r="E103" s="138"/>
    </row>
    <row r="104" spans="2:7" ht="36" x14ac:dyDescent="0.25">
      <c r="B104" s="37"/>
      <c r="C104" s="19" t="s">
        <v>20</v>
      </c>
      <c r="D104" s="15">
        <v>200</v>
      </c>
      <c r="E104" s="138"/>
    </row>
    <row r="105" spans="2:7" ht="35.25" x14ac:dyDescent="0.35">
      <c r="B105" s="37"/>
      <c r="C105" s="19" t="s">
        <v>169</v>
      </c>
      <c r="D105" s="15">
        <v>90</v>
      </c>
      <c r="E105" s="136"/>
      <c r="F105" s="81" t="s">
        <v>231</v>
      </c>
      <c r="G105" t="s">
        <v>231</v>
      </c>
    </row>
    <row r="106" spans="2:7" ht="36" x14ac:dyDescent="0.55000000000000004">
      <c r="B106" s="37" t="s">
        <v>244</v>
      </c>
      <c r="C106" s="45" t="s">
        <v>100</v>
      </c>
      <c r="D106" s="15">
        <v>80</v>
      </c>
      <c r="E106" s="135">
        <v>622.01</v>
      </c>
      <c r="F106" s="81"/>
    </row>
    <row r="107" spans="2:7" ht="36" x14ac:dyDescent="0.35">
      <c r="B107" s="37"/>
      <c r="C107" s="19" t="s">
        <v>20</v>
      </c>
      <c r="D107" s="15">
        <v>392.01</v>
      </c>
      <c r="E107" s="138"/>
      <c r="F107" s="81"/>
    </row>
    <row r="108" spans="2:7" ht="35.25" x14ac:dyDescent="0.35">
      <c r="B108" s="37"/>
      <c r="C108" s="19" t="s">
        <v>169</v>
      </c>
      <c r="D108" s="15">
        <v>150</v>
      </c>
      <c r="E108" s="136"/>
      <c r="F108" s="81" t="s">
        <v>231</v>
      </c>
      <c r="G108" t="s">
        <v>231</v>
      </c>
    </row>
    <row r="109" spans="2:7" ht="36" x14ac:dyDescent="0.55000000000000004">
      <c r="B109" s="37" t="s">
        <v>245</v>
      </c>
      <c r="C109" s="45" t="s">
        <v>100</v>
      </c>
      <c r="D109" s="15">
        <v>60</v>
      </c>
      <c r="E109" s="135">
        <v>229.05</v>
      </c>
      <c r="F109" s="81"/>
    </row>
    <row r="110" spans="2:7" ht="36" x14ac:dyDescent="0.35">
      <c r="B110" s="37"/>
      <c r="C110" s="17" t="s">
        <v>156</v>
      </c>
      <c r="D110" s="15">
        <v>70</v>
      </c>
      <c r="E110" s="138"/>
      <c r="F110" s="81"/>
    </row>
    <row r="111" spans="2:7" ht="36" x14ac:dyDescent="0.35">
      <c r="B111" s="37"/>
      <c r="C111" s="19" t="s">
        <v>20</v>
      </c>
      <c r="D111" s="15">
        <v>19.05</v>
      </c>
      <c r="E111" s="138"/>
      <c r="F111" s="81"/>
    </row>
    <row r="112" spans="2:7" ht="35.25" x14ac:dyDescent="0.35">
      <c r="B112" s="37"/>
      <c r="C112" s="20" t="s">
        <v>26</v>
      </c>
      <c r="D112" s="15">
        <v>30</v>
      </c>
      <c r="E112" s="138"/>
      <c r="F112" s="81"/>
    </row>
    <row r="113" spans="2:7" ht="36" thickBot="1" x14ac:dyDescent="0.4">
      <c r="B113" s="37"/>
      <c r="C113" s="19" t="s">
        <v>169</v>
      </c>
      <c r="D113" s="15">
        <v>50</v>
      </c>
      <c r="E113" s="136"/>
      <c r="F113" s="81">
        <v>9532.0400000000009</v>
      </c>
      <c r="G113" t="s">
        <v>231</v>
      </c>
    </row>
    <row r="114" spans="2:7" ht="35.25" customHeight="1" x14ac:dyDescent="0.25">
      <c r="B114" s="171" t="s">
        <v>247</v>
      </c>
      <c r="C114" s="172"/>
      <c r="D114" s="172"/>
      <c r="E114" s="173"/>
    </row>
    <row r="115" spans="2:7" ht="236.25" customHeight="1" thickBot="1" x14ac:dyDescent="0.3">
      <c r="B115" s="174"/>
      <c r="C115" s="175"/>
      <c r="D115" s="175"/>
      <c r="E115" s="176"/>
    </row>
  </sheetData>
  <mergeCells count="24">
    <mergeCell ref="B114:E115"/>
    <mergeCell ref="E109:E113"/>
    <mergeCell ref="E45:E51"/>
    <mergeCell ref="E32:E36"/>
    <mergeCell ref="E37:E44"/>
    <mergeCell ref="E24:E28"/>
    <mergeCell ref="E29:E31"/>
    <mergeCell ref="E106:E108"/>
    <mergeCell ref="E102:E105"/>
    <mergeCell ref="E52:E58"/>
    <mergeCell ref="E66:E68"/>
    <mergeCell ref="E69:E74"/>
    <mergeCell ref="E99:E101"/>
    <mergeCell ref="E95:E98"/>
    <mergeCell ref="E91:E94"/>
    <mergeCell ref="E78:E82"/>
    <mergeCell ref="E83:E87"/>
    <mergeCell ref="E75:E77"/>
    <mergeCell ref="E59:E64"/>
    <mergeCell ref="B4:E4"/>
    <mergeCell ref="E7:E11"/>
    <mergeCell ref="E12:E15"/>
    <mergeCell ref="E16:E21"/>
    <mergeCell ref="E22:E23"/>
  </mergeCells>
  <pageMargins left="0.7" right="0.7" top="0.75" bottom="0.75" header="0.3" footer="0.3"/>
  <pageSetup paperSize="9" orientation="portrait" horizontalDpi="0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3:F15"/>
  <sheetViews>
    <sheetView topLeftCell="A7" workbookViewId="0">
      <selection activeCell="E11" sqref="E11"/>
    </sheetView>
  </sheetViews>
  <sheetFormatPr defaultRowHeight="15" x14ac:dyDescent="0.25"/>
  <cols>
    <col min="2" max="2" width="14.28515625" customWidth="1"/>
    <col min="3" max="3" width="36.85546875" customWidth="1"/>
    <col min="4" max="4" width="17.85546875" customWidth="1"/>
    <col min="5" max="5" width="25.7109375" customWidth="1"/>
    <col min="6" max="6" width="32.42578125" customWidth="1"/>
  </cols>
  <sheetData>
    <row r="3" spans="2:6" ht="15.75" thickBot="1" x14ac:dyDescent="0.3"/>
    <row r="4" spans="2:6" ht="75" customHeight="1" x14ac:dyDescent="0.25">
      <c r="B4" s="177" t="s">
        <v>248</v>
      </c>
      <c r="C4" s="178"/>
      <c r="D4" s="178"/>
      <c r="E4" s="178"/>
      <c r="F4" s="179"/>
    </row>
    <row r="5" spans="2:6" ht="29.25" thickBot="1" x14ac:dyDescent="0.3">
      <c r="B5" s="83" t="s">
        <v>2</v>
      </c>
      <c r="C5" s="84" t="s">
        <v>3</v>
      </c>
      <c r="D5" s="85" t="s">
        <v>4</v>
      </c>
      <c r="E5" s="86" t="s">
        <v>5</v>
      </c>
      <c r="F5" s="87" t="s">
        <v>6</v>
      </c>
    </row>
    <row r="6" spans="2:6" ht="28.5" x14ac:dyDescent="0.45">
      <c r="B6" s="88">
        <v>1</v>
      </c>
      <c r="C6" s="61" t="s">
        <v>256</v>
      </c>
      <c r="D6" s="61">
        <v>2500</v>
      </c>
      <c r="E6" s="89">
        <v>92</v>
      </c>
      <c r="F6" s="90">
        <f t="shared" ref="F6:F12" si="0">E6*D6</f>
        <v>230000</v>
      </c>
    </row>
    <row r="7" spans="2:6" ht="28.5" x14ac:dyDescent="0.45">
      <c r="B7" s="88">
        <v>2</v>
      </c>
      <c r="C7" s="90" t="s">
        <v>262</v>
      </c>
      <c r="D7" s="61">
        <v>2000</v>
      </c>
      <c r="E7" s="89">
        <v>92</v>
      </c>
      <c r="F7" s="90">
        <f t="shared" si="0"/>
        <v>184000</v>
      </c>
    </row>
    <row r="8" spans="2:6" ht="28.5" x14ac:dyDescent="0.45">
      <c r="B8" s="88">
        <v>3</v>
      </c>
      <c r="C8" s="90" t="s">
        <v>265</v>
      </c>
      <c r="D8" s="61">
        <v>1000</v>
      </c>
      <c r="E8" s="89">
        <v>92</v>
      </c>
      <c r="F8" s="90">
        <f t="shared" si="0"/>
        <v>92000</v>
      </c>
    </row>
    <row r="9" spans="2:6" ht="28.5" x14ac:dyDescent="0.45">
      <c r="B9" s="88">
        <v>4</v>
      </c>
      <c r="C9" s="90" t="s">
        <v>267</v>
      </c>
      <c r="D9" s="61">
        <v>1000</v>
      </c>
      <c r="E9" s="89">
        <v>92</v>
      </c>
      <c r="F9" s="90">
        <f t="shared" si="0"/>
        <v>92000</v>
      </c>
    </row>
    <row r="10" spans="2:6" ht="28.5" x14ac:dyDescent="0.45">
      <c r="B10" s="88">
        <v>5</v>
      </c>
      <c r="C10" s="90" t="s">
        <v>268</v>
      </c>
      <c r="D10" s="61">
        <v>1000</v>
      </c>
      <c r="E10" s="89">
        <v>92</v>
      </c>
      <c r="F10" s="90">
        <f t="shared" si="0"/>
        <v>92000</v>
      </c>
    </row>
    <row r="11" spans="2:6" ht="28.5" x14ac:dyDescent="0.45">
      <c r="B11" s="88">
        <v>6</v>
      </c>
      <c r="C11" s="90" t="s">
        <v>273</v>
      </c>
      <c r="D11" s="61">
        <v>60</v>
      </c>
      <c r="E11" s="89">
        <v>92</v>
      </c>
      <c r="F11" s="90">
        <f t="shared" si="0"/>
        <v>5520</v>
      </c>
    </row>
    <row r="12" spans="2:6" ht="28.5" x14ac:dyDescent="0.45">
      <c r="B12" s="88">
        <v>7</v>
      </c>
      <c r="C12" s="90" t="s">
        <v>277</v>
      </c>
      <c r="D12" s="61">
        <v>1060</v>
      </c>
      <c r="E12" s="89">
        <v>92</v>
      </c>
      <c r="F12" s="90">
        <f t="shared" si="0"/>
        <v>97520</v>
      </c>
    </row>
    <row r="13" spans="2:6" ht="28.5" x14ac:dyDescent="0.45">
      <c r="B13" s="88"/>
      <c r="C13" s="7"/>
      <c r="D13" s="90"/>
      <c r="E13" s="89"/>
      <c r="F13" s="90"/>
    </row>
    <row r="14" spans="2:6" ht="28.5" x14ac:dyDescent="0.25">
      <c r="B14" s="180" t="s">
        <v>12</v>
      </c>
      <c r="C14" s="180"/>
      <c r="D14" s="61">
        <v>8620</v>
      </c>
      <c r="E14" s="91">
        <v>92</v>
      </c>
      <c r="F14" s="61">
        <f>E14*D14</f>
        <v>793040</v>
      </c>
    </row>
    <row r="15" spans="2:6" ht="28.5" x14ac:dyDescent="0.45">
      <c r="B15" s="181" t="s">
        <v>13</v>
      </c>
      <c r="C15" s="182"/>
      <c r="D15" s="7"/>
      <c r="E15" s="7"/>
      <c r="F15" s="7"/>
    </row>
  </sheetData>
  <mergeCells count="3">
    <mergeCell ref="B4:F4"/>
    <mergeCell ref="B14:C14"/>
    <mergeCell ref="B15:C15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3:G148"/>
  <sheetViews>
    <sheetView topLeftCell="A144" workbookViewId="0">
      <selection activeCell="B147" sqref="B147:E148"/>
    </sheetView>
  </sheetViews>
  <sheetFormatPr defaultRowHeight="15" x14ac:dyDescent="0.25"/>
  <cols>
    <col min="2" max="2" width="34.28515625" customWidth="1"/>
    <col min="3" max="3" width="47.85546875" customWidth="1"/>
    <col min="4" max="4" width="21" customWidth="1"/>
    <col min="5" max="5" width="30" customWidth="1"/>
    <col min="6" max="6" width="18.28515625" customWidth="1"/>
    <col min="7" max="7" width="15.85546875" customWidth="1"/>
  </cols>
  <sheetData>
    <row r="3" spans="2:5" ht="15.75" thickBot="1" x14ac:dyDescent="0.3"/>
    <row r="4" spans="2:5" ht="66.75" customHeight="1" thickBot="1" x14ac:dyDescent="0.3">
      <c r="B4" s="125" t="s">
        <v>249</v>
      </c>
      <c r="C4" s="126"/>
      <c r="D4" s="126"/>
      <c r="E4" s="127"/>
    </row>
    <row r="5" spans="2:5" ht="30.75" x14ac:dyDescent="0.25">
      <c r="B5" s="14" t="s">
        <v>15</v>
      </c>
      <c r="C5" s="15" t="s">
        <v>16</v>
      </c>
      <c r="D5" s="15" t="s">
        <v>17</v>
      </c>
      <c r="E5" s="16" t="s">
        <v>18</v>
      </c>
    </row>
    <row r="6" spans="2:5" ht="33.75" x14ac:dyDescent="0.5">
      <c r="B6" s="37" t="s">
        <v>250</v>
      </c>
      <c r="C6" s="92" t="s">
        <v>251</v>
      </c>
      <c r="D6" s="15">
        <v>70</v>
      </c>
      <c r="E6" s="128">
        <v>420.19</v>
      </c>
    </row>
    <row r="7" spans="2:5" ht="33.75" x14ac:dyDescent="0.25">
      <c r="B7" s="37"/>
      <c r="C7" s="93" t="s">
        <v>252</v>
      </c>
      <c r="D7" s="15">
        <v>70</v>
      </c>
      <c r="E7" s="123"/>
    </row>
    <row r="8" spans="2:5" ht="62.25" x14ac:dyDescent="0.25">
      <c r="B8" s="37"/>
      <c r="C8" s="95" t="s">
        <v>254</v>
      </c>
      <c r="D8" s="15">
        <v>20.190000000000001</v>
      </c>
      <c r="E8" s="123"/>
    </row>
    <row r="9" spans="2:5" ht="33.75" x14ac:dyDescent="0.25">
      <c r="B9" s="37"/>
      <c r="C9" s="94" t="s">
        <v>26</v>
      </c>
      <c r="D9" s="15">
        <v>90</v>
      </c>
      <c r="E9" s="123"/>
    </row>
    <row r="10" spans="2:5" ht="35.25" x14ac:dyDescent="0.25">
      <c r="B10" s="37"/>
      <c r="C10" s="19" t="s">
        <v>169</v>
      </c>
      <c r="D10" s="15">
        <v>100</v>
      </c>
      <c r="E10" s="123"/>
    </row>
    <row r="11" spans="2:5" ht="35.25" x14ac:dyDescent="0.25">
      <c r="B11" s="37"/>
      <c r="C11" s="19" t="s">
        <v>253</v>
      </c>
      <c r="D11" s="15">
        <v>70</v>
      </c>
      <c r="E11" s="123"/>
    </row>
    <row r="12" spans="2:5" ht="33.75" x14ac:dyDescent="0.5">
      <c r="B12" s="37" t="s">
        <v>255</v>
      </c>
      <c r="C12" s="92" t="s">
        <v>251</v>
      </c>
      <c r="D12" s="15">
        <v>70</v>
      </c>
      <c r="E12" s="183">
        <v>410</v>
      </c>
    </row>
    <row r="13" spans="2:5" ht="33.75" x14ac:dyDescent="0.25">
      <c r="B13" s="37"/>
      <c r="C13" s="93" t="s">
        <v>252</v>
      </c>
      <c r="D13" s="15">
        <v>50</v>
      </c>
      <c r="E13" s="183"/>
    </row>
    <row r="14" spans="2:5" ht="33.75" x14ac:dyDescent="0.25">
      <c r="B14" s="37"/>
      <c r="C14" s="94" t="s">
        <v>26</v>
      </c>
      <c r="D14" s="15">
        <v>70</v>
      </c>
      <c r="E14" s="183"/>
    </row>
    <row r="15" spans="2:5" ht="35.25" x14ac:dyDescent="0.25">
      <c r="B15" s="37"/>
      <c r="C15" s="19" t="s">
        <v>169</v>
      </c>
      <c r="D15" s="15">
        <v>100</v>
      </c>
      <c r="E15" s="183"/>
    </row>
    <row r="16" spans="2:5" ht="35.25" x14ac:dyDescent="0.25">
      <c r="B16" s="37"/>
      <c r="C16" s="19" t="s">
        <v>253</v>
      </c>
      <c r="D16" s="15">
        <v>120</v>
      </c>
      <c r="E16" s="183"/>
    </row>
    <row r="17" spans="2:6" ht="33.75" x14ac:dyDescent="0.5">
      <c r="B17" s="37" t="s">
        <v>256</v>
      </c>
      <c r="C17" s="92" t="s">
        <v>251</v>
      </c>
      <c r="D17" s="15">
        <v>63</v>
      </c>
      <c r="E17" s="183">
        <v>939</v>
      </c>
    </row>
    <row r="18" spans="2:6" ht="36" x14ac:dyDescent="0.25">
      <c r="B18" s="37"/>
      <c r="C18" s="17" t="s">
        <v>156</v>
      </c>
      <c r="D18" s="15">
        <v>60</v>
      </c>
      <c r="E18" s="183"/>
    </row>
    <row r="19" spans="2:6" ht="33.75" x14ac:dyDescent="0.25">
      <c r="B19" s="37"/>
      <c r="C19" s="93" t="s">
        <v>252</v>
      </c>
      <c r="D19" s="15">
        <v>50</v>
      </c>
      <c r="E19" s="183"/>
    </row>
    <row r="20" spans="2:6" ht="36" x14ac:dyDescent="0.25">
      <c r="B20" s="37"/>
      <c r="C20" s="19" t="s">
        <v>20</v>
      </c>
      <c r="D20" s="15">
        <v>476</v>
      </c>
      <c r="E20" s="183"/>
    </row>
    <row r="21" spans="2:6" ht="62.25" x14ac:dyDescent="0.25">
      <c r="B21" s="37"/>
      <c r="C21" s="95" t="s">
        <v>254</v>
      </c>
      <c r="D21" s="15">
        <v>20</v>
      </c>
      <c r="E21" s="183"/>
    </row>
    <row r="22" spans="2:6" ht="33.75" x14ac:dyDescent="0.25">
      <c r="B22" s="37"/>
      <c r="C22" s="94" t="s">
        <v>26</v>
      </c>
      <c r="D22" s="15">
        <v>70</v>
      </c>
      <c r="E22" s="183"/>
    </row>
    <row r="23" spans="2:6" ht="35.25" x14ac:dyDescent="0.25">
      <c r="B23" s="37"/>
      <c r="C23" s="19" t="s">
        <v>169</v>
      </c>
      <c r="D23" s="15">
        <v>100</v>
      </c>
      <c r="E23" s="183"/>
    </row>
    <row r="24" spans="2:6" ht="35.25" x14ac:dyDescent="0.35">
      <c r="B24" s="37"/>
      <c r="C24" s="19" t="s">
        <v>253</v>
      </c>
      <c r="D24" s="15">
        <v>100</v>
      </c>
      <c r="E24" s="183"/>
      <c r="F24" s="96" t="s">
        <v>231</v>
      </c>
    </row>
    <row r="25" spans="2:6" ht="44.25" customHeight="1" x14ac:dyDescent="0.5">
      <c r="B25" s="37" t="s">
        <v>257</v>
      </c>
      <c r="C25" s="92" t="s">
        <v>251</v>
      </c>
      <c r="D25" s="97">
        <v>120</v>
      </c>
      <c r="E25" s="184">
        <v>922.49</v>
      </c>
      <c r="F25" s="57"/>
    </row>
    <row r="26" spans="2:6" ht="39.75" customHeight="1" x14ac:dyDescent="0.35">
      <c r="B26" s="37"/>
      <c r="C26" s="17" t="s">
        <v>156</v>
      </c>
      <c r="D26" s="97">
        <v>261</v>
      </c>
      <c r="E26" s="184"/>
      <c r="F26" s="57"/>
    </row>
    <row r="27" spans="2:6" ht="35.25" customHeight="1" x14ac:dyDescent="0.35">
      <c r="B27" s="37"/>
      <c r="C27" s="93" t="s">
        <v>252</v>
      </c>
      <c r="D27" s="97">
        <v>70</v>
      </c>
      <c r="E27" s="184"/>
      <c r="F27" s="57"/>
    </row>
    <row r="28" spans="2:6" ht="33.75" x14ac:dyDescent="0.35">
      <c r="B28" s="37"/>
      <c r="C28" s="94" t="s">
        <v>26</v>
      </c>
      <c r="D28" s="15">
        <v>70</v>
      </c>
      <c r="E28" s="184"/>
      <c r="F28" s="57"/>
    </row>
    <row r="29" spans="2:6" ht="35.25" x14ac:dyDescent="0.35">
      <c r="B29" s="37"/>
      <c r="C29" s="19" t="s">
        <v>169</v>
      </c>
      <c r="D29" s="15">
        <v>100</v>
      </c>
      <c r="E29" s="184"/>
      <c r="F29" s="57"/>
    </row>
    <row r="30" spans="2:6" ht="35.25" x14ac:dyDescent="0.35">
      <c r="B30" s="37"/>
      <c r="C30" s="19" t="s">
        <v>253</v>
      </c>
      <c r="D30" s="15">
        <v>230.12</v>
      </c>
      <c r="E30" s="184"/>
      <c r="F30" s="57"/>
    </row>
    <row r="31" spans="2:6" ht="35.25" x14ac:dyDescent="0.35">
      <c r="B31" s="37"/>
      <c r="C31" s="19" t="s">
        <v>190</v>
      </c>
      <c r="D31" s="15">
        <v>71.37</v>
      </c>
      <c r="E31" s="184"/>
      <c r="F31" s="57"/>
    </row>
    <row r="32" spans="2:6" ht="36" x14ac:dyDescent="0.35">
      <c r="B32" s="37" t="s">
        <v>258</v>
      </c>
      <c r="C32" s="19" t="s">
        <v>20</v>
      </c>
      <c r="D32" s="15">
        <v>290</v>
      </c>
      <c r="E32" s="183">
        <v>662.58</v>
      </c>
      <c r="F32" s="57"/>
    </row>
    <row r="33" spans="2:6" ht="33.75" x14ac:dyDescent="0.5">
      <c r="B33" s="37"/>
      <c r="C33" s="92" t="s">
        <v>251</v>
      </c>
      <c r="D33" s="15">
        <v>100</v>
      </c>
      <c r="E33" s="183"/>
      <c r="F33" s="57"/>
    </row>
    <row r="34" spans="2:6" ht="33.75" x14ac:dyDescent="0.35">
      <c r="B34" s="37"/>
      <c r="C34" s="93" t="s">
        <v>252</v>
      </c>
      <c r="D34" s="15">
        <v>50</v>
      </c>
      <c r="E34" s="183"/>
      <c r="F34" s="57"/>
    </row>
    <row r="35" spans="2:6" ht="62.25" x14ac:dyDescent="0.35">
      <c r="B35" s="37"/>
      <c r="C35" s="95" t="s">
        <v>254</v>
      </c>
      <c r="D35" s="15">
        <v>38.76</v>
      </c>
      <c r="E35" s="183"/>
      <c r="F35" s="57"/>
    </row>
    <row r="36" spans="2:6" ht="33.75" x14ac:dyDescent="0.35">
      <c r="B36" s="37"/>
      <c r="C36" s="94" t="s">
        <v>26</v>
      </c>
      <c r="D36" s="15">
        <v>100</v>
      </c>
      <c r="E36" s="183"/>
      <c r="F36" s="57"/>
    </row>
    <row r="37" spans="2:6" ht="35.25" x14ac:dyDescent="0.35">
      <c r="B37" s="37"/>
      <c r="C37" s="19" t="s">
        <v>169</v>
      </c>
      <c r="D37" s="15">
        <v>50</v>
      </c>
      <c r="E37" s="183"/>
      <c r="F37" s="57"/>
    </row>
    <row r="38" spans="2:6" ht="35.25" x14ac:dyDescent="0.35">
      <c r="B38" s="37"/>
      <c r="C38" s="19" t="s">
        <v>259</v>
      </c>
      <c r="D38" s="15">
        <v>33.82</v>
      </c>
      <c r="E38" s="183"/>
      <c r="F38" s="57"/>
    </row>
    <row r="39" spans="2:6" ht="33.75" x14ac:dyDescent="0.5">
      <c r="B39" s="37" t="s">
        <v>260</v>
      </c>
      <c r="C39" s="92" t="s">
        <v>251</v>
      </c>
      <c r="D39" s="15">
        <v>60</v>
      </c>
      <c r="E39" s="183">
        <v>430</v>
      </c>
      <c r="F39" s="57"/>
    </row>
    <row r="40" spans="2:6" ht="33.75" x14ac:dyDescent="0.35">
      <c r="B40" s="37"/>
      <c r="C40" s="93" t="s">
        <v>252</v>
      </c>
      <c r="D40" s="15">
        <v>50</v>
      </c>
      <c r="E40" s="183"/>
      <c r="F40" s="57"/>
    </row>
    <row r="41" spans="2:6" ht="36" x14ac:dyDescent="0.35">
      <c r="B41" s="37"/>
      <c r="C41" s="19" t="s">
        <v>20</v>
      </c>
      <c r="D41" s="15">
        <v>150</v>
      </c>
      <c r="E41" s="183"/>
      <c r="F41" s="57"/>
    </row>
    <row r="42" spans="2:6" ht="33.75" x14ac:dyDescent="0.35">
      <c r="B42" s="37"/>
      <c r="C42" s="94" t="s">
        <v>26</v>
      </c>
      <c r="D42" s="15">
        <v>70</v>
      </c>
      <c r="E42" s="183"/>
      <c r="F42" s="57"/>
    </row>
    <row r="43" spans="2:6" ht="35.25" x14ac:dyDescent="0.35">
      <c r="B43" s="37"/>
      <c r="C43" s="19" t="s">
        <v>253</v>
      </c>
      <c r="D43" s="15">
        <v>100</v>
      </c>
      <c r="E43" s="183"/>
      <c r="F43" s="57"/>
    </row>
    <row r="44" spans="2:6" ht="33.75" x14ac:dyDescent="0.35">
      <c r="B44" s="37" t="s">
        <v>261</v>
      </c>
      <c r="C44" s="93" t="s">
        <v>252</v>
      </c>
      <c r="D44" s="15">
        <v>50</v>
      </c>
      <c r="E44" s="183">
        <v>120</v>
      </c>
      <c r="F44" s="57"/>
    </row>
    <row r="45" spans="2:6" ht="33.75" x14ac:dyDescent="0.35">
      <c r="B45" s="37"/>
      <c r="C45" s="94" t="s">
        <v>26</v>
      </c>
      <c r="D45" s="15">
        <v>70</v>
      </c>
      <c r="E45" s="183"/>
      <c r="F45" s="57"/>
    </row>
    <row r="46" spans="2:6" ht="33.75" x14ac:dyDescent="0.5">
      <c r="B46" s="37" t="s">
        <v>262</v>
      </c>
      <c r="C46" s="92" t="s">
        <v>251</v>
      </c>
      <c r="D46" s="15">
        <v>100</v>
      </c>
      <c r="E46" s="183">
        <v>1260</v>
      </c>
      <c r="F46" s="57"/>
    </row>
    <row r="47" spans="2:6" ht="36" x14ac:dyDescent="0.35">
      <c r="B47" s="37"/>
      <c r="C47" s="17" t="s">
        <v>156</v>
      </c>
      <c r="D47" s="15">
        <v>289.5</v>
      </c>
      <c r="E47" s="183"/>
      <c r="F47" s="57"/>
    </row>
    <row r="48" spans="2:6" ht="33.75" x14ac:dyDescent="0.35">
      <c r="B48" s="37"/>
      <c r="C48" s="93" t="s">
        <v>252</v>
      </c>
      <c r="D48" s="15">
        <v>50</v>
      </c>
      <c r="E48" s="183"/>
      <c r="F48" s="57"/>
    </row>
    <row r="49" spans="2:7" ht="36" x14ac:dyDescent="0.35">
      <c r="B49" s="37"/>
      <c r="C49" s="19" t="s">
        <v>20</v>
      </c>
      <c r="D49" s="15">
        <v>425</v>
      </c>
      <c r="E49" s="183"/>
      <c r="F49" s="57"/>
    </row>
    <row r="50" spans="2:7" ht="62.25" x14ac:dyDescent="0.35">
      <c r="B50" s="37"/>
      <c r="C50" s="95" t="s">
        <v>254</v>
      </c>
      <c r="D50" s="98">
        <v>45.5</v>
      </c>
      <c r="E50" s="183"/>
      <c r="F50" s="57"/>
    </row>
    <row r="51" spans="2:7" ht="33.75" x14ac:dyDescent="0.35">
      <c r="B51" s="37"/>
      <c r="C51" s="94" t="s">
        <v>26</v>
      </c>
      <c r="D51" s="15">
        <v>100</v>
      </c>
      <c r="E51" s="183"/>
      <c r="F51" s="57"/>
    </row>
    <row r="52" spans="2:7" ht="35.25" x14ac:dyDescent="0.35">
      <c r="B52" s="37"/>
      <c r="C52" s="19" t="s">
        <v>253</v>
      </c>
      <c r="D52" s="15">
        <v>100</v>
      </c>
      <c r="E52" s="183"/>
      <c r="F52" s="57"/>
    </row>
    <row r="53" spans="2:7" ht="35.25" x14ac:dyDescent="0.25">
      <c r="B53" s="37"/>
      <c r="C53" s="19" t="s">
        <v>169</v>
      </c>
      <c r="D53" s="15">
        <v>150</v>
      </c>
      <c r="E53" s="183"/>
      <c r="F53" s="100"/>
    </row>
    <row r="54" spans="2:7" ht="33.75" x14ac:dyDescent="0.25">
      <c r="B54" s="37" t="s">
        <v>263</v>
      </c>
      <c r="C54" s="93" t="s">
        <v>252</v>
      </c>
      <c r="D54" s="15">
        <v>50</v>
      </c>
      <c r="E54" s="128">
        <v>250</v>
      </c>
      <c r="F54" s="100"/>
    </row>
    <row r="55" spans="2:7" ht="33.75" x14ac:dyDescent="0.25">
      <c r="B55" s="37"/>
      <c r="C55" s="94" t="s">
        <v>26</v>
      </c>
      <c r="D55" s="15">
        <v>100</v>
      </c>
      <c r="E55" s="123"/>
      <c r="F55" s="100"/>
    </row>
    <row r="56" spans="2:7" ht="35.25" x14ac:dyDescent="0.25">
      <c r="B56" s="37"/>
      <c r="C56" s="19" t="s">
        <v>253</v>
      </c>
      <c r="D56" s="15">
        <v>100</v>
      </c>
      <c r="E56" s="124"/>
      <c r="F56" s="99" t="s">
        <v>231</v>
      </c>
    </row>
    <row r="57" spans="2:7" ht="33.75" x14ac:dyDescent="0.5">
      <c r="B57" s="37" t="s">
        <v>264</v>
      </c>
      <c r="C57" s="92" t="s">
        <v>251</v>
      </c>
      <c r="D57" s="15">
        <v>100</v>
      </c>
      <c r="E57" s="128">
        <v>250</v>
      </c>
      <c r="F57" s="100"/>
    </row>
    <row r="58" spans="2:7" ht="33.75" x14ac:dyDescent="0.25">
      <c r="B58" s="37"/>
      <c r="C58" s="93" t="s">
        <v>252</v>
      </c>
      <c r="D58" s="15">
        <v>50</v>
      </c>
      <c r="E58" s="123"/>
      <c r="F58" s="100"/>
    </row>
    <row r="59" spans="2:7" ht="33.75" x14ac:dyDescent="0.25">
      <c r="B59" s="37"/>
      <c r="C59" s="94" t="s">
        <v>26</v>
      </c>
      <c r="D59" s="15">
        <v>100</v>
      </c>
      <c r="E59" s="124"/>
      <c r="F59" s="101"/>
      <c r="G59" t="s">
        <v>231</v>
      </c>
    </row>
    <row r="60" spans="2:7" ht="33.75" x14ac:dyDescent="0.5">
      <c r="B60" s="37" t="s">
        <v>265</v>
      </c>
      <c r="C60" s="92" t="s">
        <v>251</v>
      </c>
      <c r="D60" s="15">
        <v>70</v>
      </c>
      <c r="E60" s="128">
        <v>393.15</v>
      </c>
      <c r="F60" s="100"/>
    </row>
    <row r="61" spans="2:7" ht="33.75" x14ac:dyDescent="0.25">
      <c r="B61" s="37"/>
      <c r="C61" s="93" t="s">
        <v>252</v>
      </c>
      <c r="D61" s="15">
        <v>70</v>
      </c>
      <c r="E61" s="123"/>
      <c r="F61" s="100"/>
    </row>
    <row r="62" spans="2:7" ht="33.75" x14ac:dyDescent="0.25">
      <c r="B62" s="37"/>
      <c r="C62" s="94" t="s">
        <v>26</v>
      </c>
      <c r="D62" s="15">
        <v>50</v>
      </c>
      <c r="E62" s="123"/>
      <c r="F62" s="100"/>
    </row>
    <row r="63" spans="2:7" ht="35.25" x14ac:dyDescent="0.25">
      <c r="B63" s="37"/>
      <c r="C63" s="19" t="s">
        <v>253</v>
      </c>
      <c r="D63" s="15">
        <v>160</v>
      </c>
      <c r="E63" s="123"/>
      <c r="F63" s="100"/>
    </row>
    <row r="64" spans="2:7" ht="35.25" x14ac:dyDescent="0.25">
      <c r="B64" s="37"/>
      <c r="C64" s="19" t="s">
        <v>190</v>
      </c>
      <c r="D64" s="15">
        <v>43.15</v>
      </c>
      <c r="E64" s="124"/>
      <c r="F64" s="99"/>
    </row>
    <row r="65" spans="2:6" ht="36" x14ac:dyDescent="0.25">
      <c r="B65" s="37" t="s">
        <v>266</v>
      </c>
      <c r="C65" s="19" t="s">
        <v>20</v>
      </c>
      <c r="D65" s="15">
        <v>435</v>
      </c>
      <c r="E65" s="183">
        <v>907.46</v>
      </c>
      <c r="F65" s="100"/>
    </row>
    <row r="66" spans="2:6" ht="33.75" x14ac:dyDescent="0.5">
      <c r="B66" s="37"/>
      <c r="C66" s="92" t="s">
        <v>251</v>
      </c>
      <c r="D66" s="112">
        <v>50</v>
      </c>
      <c r="E66" s="183"/>
      <c r="F66" s="100"/>
    </row>
    <row r="67" spans="2:6" ht="33.75" x14ac:dyDescent="0.25">
      <c r="B67" s="37"/>
      <c r="C67" s="93" t="s">
        <v>252</v>
      </c>
      <c r="D67" s="15">
        <v>125.42</v>
      </c>
      <c r="E67" s="183"/>
      <c r="F67" s="100"/>
    </row>
    <row r="68" spans="2:6" ht="33.75" x14ac:dyDescent="0.25">
      <c r="B68" s="37"/>
      <c r="C68" s="94" t="s">
        <v>26</v>
      </c>
      <c r="D68" s="15">
        <v>60</v>
      </c>
      <c r="E68" s="183"/>
    </row>
    <row r="69" spans="2:6" ht="35.25" x14ac:dyDescent="0.25">
      <c r="B69" s="37"/>
      <c r="C69" s="19" t="s">
        <v>253</v>
      </c>
      <c r="D69" s="15">
        <v>70</v>
      </c>
      <c r="E69" s="183"/>
    </row>
    <row r="70" spans="2:6" ht="35.25" x14ac:dyDescent="0.25">
      <c r="B70" s="37"/>
      <c r="C70" s="19" t="s">
        <v>169</v>
      </c>
      <c r="D70" s="15">
        <v>150</v>
      </c>
      <c r="E70" s="183"/>
    </row>
    <row r="71" spans="2:6" ht="35.25" x14ac:dyDescent="0.35">
      <c r="B71" s="37"/>
      <c r="C71" s="19" t="s">
        <v>190</v>
      </c>
      <c r="D71" s="15">
        <v>17.04</v>
      </c>
      <c r="E71" s="183"/>
      <c r="F71" s="103"/>
    </row>
    <row r="72" spans="2:6" ht="36" x14ac:dyDescent="0.35">
      <c r="B72" s="62" t="s">
        <v>267</v>
      </c>
      <c r="C72" s="19" t="s">
        <v>20</v>
      </c>
      <c r="D72" s="15">
        <v>374</v>
      </c>
      <c r="E72" s="183">
        <v>614</v>
      </c>
      <c r="F72" s="103"/>
    </row>
    <row r="73" spans="2:6" ht="33.75" x14ac:dyDescent="0.5">
      <c r="B73" s="37"/>
      <c r="C73" s="92" t="s">
        <v>251</v>
      </c>
      <c r="D73" s="15">
        <v>70</v>
      </c>
      <c r="E73" s="183"/>
      <c r="F73" s="103"/>
    </row>
    <row r="74" spans="2:6" ht="62.25" x14ac:dyDescent="0.35">
      <c r="B74" s="37"/>
      <c r="C74" s="95" t="s">
        <v>254</v>
      </c>
      <c r="D74" s="15">
        <v>10</v>
      </c>
      <c r="E74" s="183"/>
      <c r="F74" s="103"/>
    </row>
    <row r="75" spans="2:6" ht="33.75" x14ac:dyDescent="0.35">
      <c r="B75" s="37"/>
      <c r="C75" s="94" t="s">
        <v>26</v>
      </c>
      <c r="D75" s="15">
        <v>50</v>
      </c>
      <c r="E75" s="183"/>
      <c r="F75" s="103"/>
    </row>
    <row r="76" spans="2:6" ht="35.25" x14ac:dyDescent="0.35">
      <c r="B76" s="37"/>
      <c r="C76" s="19" t="s">
        <v>253</v>
      </c>
      <c r="D76" s="15">
        <v>60</v>
      </c>
      <c r="E76" s="183"/>
      <c r="F76" s="103"/>
    </row>
    <row r="77" spans="2:6" ht="35.25" x14ac:dyDescent="0.35">
      <c r="B77" s="37"/>
      <c r="C77" s="19" t="s">
        <v>169</v>
      </c>
      <c r="D77" s="15">
        <v>50</v>
      </c>
      <c r="E77" s="183"/>
      <c r="F77" s="67" t="s">
        <v>231</v>
      </c>
    </row>
    <row r="78" spans="2:6" ht="33.75" x14ac:dyDescent="0.5">
      <c r="B78" s="62" t="s">
        <v>268</v>
      </c>
      <c r="C78" s="92" t="s">
        <v>251</v>
      </c>
      <c r="D78" s="15">
        <v>50</v>
      </c>
      <c r="E78" s="128">
        <v>295</v>
      </c>
      <c r="F78" s="67"/>
    </row>
    <row r="79" spans="2:6" ht="36" x14ac:dyDescent="0.35">
      <c r="B79" s="62"/>
      <c r="C79" s="17" t="s">
        <v>156</v>
      </c>
      <c r="D79" s="15">
        <v>100</v>
      </c>
      <c r="E79" s="123"/>
      <c r="F79" s="67"/>
    </row>
    <row r="80" spans="2:6" ht="33.75" x14ac:dyDescent="0.35">
      <c r="B80" s="37"/>
      <c r="C80" s="93" t="s">
        <v>252</v>
      </c>
      <c r="D80" s="15">
        <v>60</v>
      </c>
      <c r="E80" s="123"/>
      <c r="F80" s="67"/>
    </row>
    <row r="81" spans="2:6" ht="62.25" x14ac:dyDescent="0.35">
      <c r="B81" s="37"/>
      <c r="C81" s="95" t="s">
        <v>254</v>
      </c>
      <c r="D81" s="15">
        <v>25</v>
      </c>
      <c r="E81" s="123"/>
      <c r="F81" s="67"/>
    </row>
    <row r="82" spans="2:6" ht="33.75" x14ac:dyDescent="0.35">
      <c r="B82" s="37"/>
      <c r="C82" s="94" t="s">
        <v>26</v>
      </c>
      <c r="D82" s="15">
        <v>60</v>
      </c>
      <c r="E82" s="124"/>
      <c r="F82" s="67"/>
    </row>
    <row r="83" spans="2:6" ht="33.75" x14ac:dyDescent="0.5">
      <c r="B83" s="37" t="s">
        <v>269</v>
      </c>
      <c r="C83" s="92" t="s">
        <v>251</v>
      </c>
      <c r="D83" s="15">
        <v>70</v>
      </c>
      <c r="E83" s="128">
        <v>934.98</v>
      </c>
      <c r="F83" s="67"/>
    </row>
    <row r="84" spans="2:6" ht="36" x14ac:dyDescent="0.35">
      <c r="B84" s="37"/>
      <c r="C84" s="17" t="s">
        <v>156</v>
      </c>
      <c r="D84" s="15">
        <v>100</v>
      </c>
      <c r="E84" s="123"/>
      <c r="F84" s="67"/>
    </row>
    <row r="85" spans="2:6" ht="33.75" x14ac:dyDescent="0.35">
      <c r="B85" s="37"/>
      <c r="C85" s="93" t="s">
        <v>252</v>
      </c>
      <c r="D85" s="15">
        <v>50</v>
      </c>
      <c r="E85" s="123"/>
      <c r="F85" s="67"/>
    </row>
    <row r="86" spans="2:6" ht="36" x14ac:dyDescent="0.35">
      <c r="B86" s="37"/>
      <c r="C86" s="19" t="s">
        <v>20</v>
      </c>
      <c r="D86" s="15">
        <v>364.98</v>
      </c>
      <c r="E86" s="123"/>
      <c r="F86" s="67"/>
    </row>
    <row r="87" spans="2:6" ht="33.75" x14ac:dyDescent="0.35">
      <c r="B87" s="37"/>
      <c r="C87" s="94" t="s">
        <v>26</v>
      </c>
      <c r="D87" s="15">
        <v>60</v>
      </c>
      <c r="E87" s="123"/>
      <c r="F87" s="67"/>
    </row>
    <row r="88" spans="2:6" ht="35.25" x14ac:dyDescent="0.35">
      <c r="B88" s="37"/>
      <c r="C88" s="19" t="s">
        <v>253</v>
      </c>
      <c r="D88" s="15">
        <v>60</v>
      </c>
      <c r="E88" s="123"/>
      <c r="F88" s="67"/>
    </row>
    <row r="89" spans="2:6" ht="35.25" x14ac:dyDescent="0.35">
      <c r="B89" s="37"/>
      <c r="C89" s="20" t="s">
        <v>270</v>
      </c>
      <c r="D89" s="15">
        <v>230</v>
      </c>
      <c r="E89" s="124"/>
      <c r="F89" s="67"/>
    </row>
    <row r="90" spans="2:6" ht="33.75" x14ac:dyDescent="0.35">
      <c r="B90" s="37" t="s">
        <v>271</v>
      </c>
      <c r="C90" s="93" t="s">
        <v>252</v>
      </c>
      <c r="D90" s="15">
        <v>60</v>
      </c>
      <c r="E90" s="128">
        <v>150</v>
      </c>
      <c r="F90" s="67"/>
    </row>
    <row r="91" spans="2:6" ht="33.75" x14ac:dyDescent="0.35">
      <c r="B91" s="37"/>
      <c r="C91" s="94" t="s">
        <v>26</v>
      </c>
      <c r="D91" s="15">
        <v>30</v>
      </c>
      <c r="E91" s="123"/>
      <c r="F91" s="67" t="s">
        <v>231</v>
      </c>
    </row>
    <row r="92" spans="2:6" ht="35.25" x14ac:dyDescent="0.35">
      <c r="B92" s="37"/>
      <c r="C92" s="19" t="s">
        <v>253</v>
      </c>
      <c r="D92" s="15">
        <v>60</v>
      </c>
      <c r="E92" s="124"/>
      <c r="F92" s="67"/>
    </row>
    <row r="93" spans="2:6" ht="62.25" x14ac:dyDescent="0.35">
      <c r="B93" s="37" t="s">
        <v>272</v>
      </c>
      <c r="C93" s="95" t="s">
        <v>254</v>
      </c>
      <c r="D93" s="15">
        <v>6.02</v>
      </c>
      <c r="E93" s="102">
        <v>6.02</v>
      </c>
      <c r="F93" s="67">
        <v>8964.8700000000008</v>
      </c>
    </row>
    <row r="94" spans="2:6" ht="33.75" x14ac:dyDescent="0.5">
      <c r="B94" s="37" t="s">
        <v>275</v>
      </c>
      <c r="C94" s="92" t="s">
        <v>251</v>
      </c>
      <c r="D94" s="15">
        <v>30</v>
      </c>
      <c r="E94" s="128">
        <v>220</v>
      </c>
      <c r="F94" s="67"/>
    </row>
    <row r="95" spans="2:6" ht="36" x14ac:dyDescent="0.35">
      <c r="B95" s="37"/>
      <c r="C95" s="17" t="s">
        <v>156</v>
      </c>
      <c r="D95" s="15">
        <v>60</v>
      </c>
      <c r="E95" s="123"/>
      <c r="F95" s="67"/>
    </row>
    <row r="96" spans="2:6" ht="33.75" x14ac:dyDescent="0.35">
      <c r="B96" s="37"/>
      <c r="C96" s="94" t="s">
        <v>26</v>
      </c>
      <c r="D96" s="15">
        <v>60</v>
      </c>
      <c r="E96" s="123"/>
      <c r="F96" s="67"/>
    </row>
    <row r="97" spans="2:7" ht="36" x14ac:dyDescent="0.35">
      <c r="B97" s="37"/>
      <c r="C97" s="106" t="s">
        <v>274</v>
      </c>
      <c r="D97" s="15">
        <v>70</v>
      </c>
      <c r="E97" s="124"/>
      <c r="F97" s="67"/>
    </row>
    <row r="98" spans="2:7" ht="33.75" x14ac:dyDescent="0.5">
      <c r="B98" s="37" t="s">
        <v>276</v>
      </c>
      <c r="C98" s="92" t="s">
        <v>251</v>
      </c>
      <c r="D98" s="15">
        <v>50</v>
      </c>
      <c r="E98" s="128">
        <v>195</v>
      </c>
      <c r="F98" s="67"/>
    </row>
    <row r="99" spans="2:7" ht="62.25" x14ac:dyDescent="0.35">
      <c r="B99" s="37"/>
      <c r="C99" s="95" t="s">
        <v>254</v>
      </c>
      <c r="D99" s="15">
        <v>5</v>
      </c>
      <c r="E99" s="123"/>
      <c r="F99" s="67"/>
    </row>
    <row r="100" spans="2:7" ht="33.75" x14ac:dyDescent="0.35">
      <c r="B100" s="37"/>
      <c r="C100" s="94" t="s">
        <v>26</v>
      </c>
      <c r="D100" s="15">
        <v>25</v>
      </c>
      <c r="E100" s="123"/>
      <c r="F100" s="67"/>
    </row>
    <row r="101" spans="2:7" ht="36" x14ac:dyDescent="0.25">
      <c r="B101" s="37"/>
      <c r="C101" s="106" t="s">
        <v>274</v>
      </c>
      <c r="D101" s="15">
        <v>55</v>
      </c>
      <c r="E101" s="123"/>
    </row>
    <row r="102" spans="2:7" ht="35.25" x14ac:dyDescent="0.25">
      <c r="B102" s="37"/>
      <c r="C102" s="19" t="s">
        <v>253</v>
      </c>
      <c r="D102" s="15">
        <v>60</v>
      </c>
      <c r="E102" s="124"/>
    </row>
    <row r="103" spans="2:7" ht="36" x14ac:dyDescent="0.25">
      <c r="B103" s="37" t="s">
        <v>277</v>
      </c>
      <c r="C103" s="17" t="s">
        <v>156</v>
      </c>
      <c r="D103" s="15">
        <v>30</v>
      </c>
      <c r="E103" s="128">
        <v>80.040000000000006</v>
      </c>
    </row>
    <row r="104" spans="2:7" ht="33.75" x14ac:dyDescent="0.25">
      <c r="B104" s="37"/>
      <c r="C104" s="94" t="s">
        <v>26</v>
      </c>
      <c r="D104" s="15">
        <v>30</v>
      </c>
      <c r="E104" s="123"/>
    </row>
    <row r="105" spans="2:7" ht="62.25" x14ac:dyDescent="0.25">
      <c r="B105" s="37"/>
      <c r="C105" s="95" t="s">
        <v>254</v>
      </c>
      <c r="D105" s="15">
        <v>20.04</v>
      </c>
      <c r="E105" s="124"/>
      <c r="F105" s="111" t="s">
        <v>231</v>
      </c>
    </row>
    <row r="106" spans="2:7" ht="36" x14ac:dyDescent="0.25">
      <c r="B106" s="37" t="s">
        <v>278</v>
      </c>
      <c r="C106" s="17" t="s">
        <v>110</v>
      </c>
      <c r="D106" s="15">
        <v>50</v>
      </c>
      <c r="E106" s="128">
        <v>970.99</v>
      </c>
    </row>
    <row r="107" spans="2:7" ht="33.75" x14ac:dyDescent="0.5">
      <c r="B107" s="37"/>
      <c r="C107" s="92" t="s">
        <v>251</v>
      </c>
      <c r="D107" s="15">
        <v>80</v>
      </c>
      <c r="E107" s="123"/>
    </row>
    <row r="108" spans="2:7" ht="33.75" x14ac:dyDescent="0.25">
      <c r="B108" s="37"/>
      <c r="C108" s="93" t="s">
        <v>252</v>
      </c>
      <c r="D108" s="15">
        <v>100</v>
      </c>
      <c r="E108" s="123"/>
    </row>
    <row r="109" spans="2:7" ht="36" x14ac:dyDescent="0.25">
      <c r="B109" s="37"/>
      <c r="C109" s="17" t="s">
        <v>156</v>
      </c>
      <c r="D109" s="15">
        <v>150</v>
      </c>
      <c r="E109" s="123"/>
    </row>
    <row r="110" spans="2:7" ht="36" x14ac:dyDescent="0.25">
      <c r="B110" s="37"/>
      <c r="C110" s="19" t="s">
        <v>20</v>
      </c>
      <c r="D110" s="15">
        <v>490.99</v>
      </c>
      <c r="E110" s="123"/>
    </row>
    <row r="111" spans="2:7" ht="36" x14ac:dyDescent="0.35">
      <c r="B111" s="37"/>
      <c r="C111" s="106" t="s">
        <v>274</v>
      </c>
      <c r="D111" s="15">
        <v>100</v>
      </c>
      <c r="E111" s="124"/>
      <c r="F111" s="81" t="s">
        <v>231</v>
      </c>
    </row>
    <row r="112" spans="2:7" ht="36" x14ac:dyDescent="0.25">
      <c r="B112" s="37" t="s">
        <v>279</v>
      </c>
      <c r="C112" s="17" t="s">
        <v>110</v>
      </c>
      <c r="D112" s="15">
        <v>100</v>
      </c>
      <c r="E112" s="128">
        <v>885</v>
      </c>
      <c r="G112" t="s">
        <v>231</v>
      </c>
    </row>
    <row r="113" spans="2:6" ht="33.75" x14ac:dyDescent="0.5">
      <c r="B113" s="37"/>
      <c r="C113" s="92" t="s">
        <v>251</v>
      </c>
      <c r="D113" s="15">
        <v>80</v>
      </c>
      <c r="E113" s="123"/>
    </row>
    <row r="114" spans="2:6" ht="33.75" x14ac:dyDescent="0.25">
      <c r="B114" s="37"/>
      <c r="C114" s="93" t="s">
        <v>252</v>
      </c>
      <c r="D114" s="15">
        <v>80</v>
      </c>
      <c r="E114" s="123"/>
    </row>
    <row r="115" spans="2:6" ht="36" x14ac:dyDescent="0.25">
      <c r="B115" s="37"/>
      <c r="C115" s="19" t="s">
        <v>20</v>
      </c>
      <c r="D115" s="15">
        <v>305</v>
      </c>
      <c r="E115" s="123"/>
    </row>
    <row r="116" spans="2:6" ht="36" x14ac:dyDescent="0.25">
      <c r="B116" s="37"/>
      <c r="C116" s="106" t="s">
        <v>274</v>
      </c>
      <c r="D116" s="15">
        <v>100</v>
      </c>
      <c r="E116" s="123"/>
    </row>
    <row r="117" spans="2:6" ht="33.75" x14ac:dyDescent="0.25">
      <c r="B117" s="37"/>
      <c r="C117" s="94" t="s">
        <v>26</v>
      </c>
      <c r="D117" s="15">
        <v>70</v>
      </c>
      <c r="E117" s="123"/>
      <c r="F117" t="s">
        <v>231</v>
      </c>
    </row>
    <row r="118" spans="2:6" ht="35.25" x14ac:dyDescent="0.35">
      <c r="B118" s="37"/>
      <c r="C118" s="19" t="s">
        <v>169</v>
      </c>
      <c r="D118" s="15">
        <v>150</v>
      </c>
      <c r="E118" s="124"/>
      <c r="F118" s="82" t="s">
        <v>231</v>
      </c>
    </row>
    <row r="119" spans="2:6" ht="36" x14ac:dyDescent="0.25">
      <c r="B119" s="37" t="s">
        <v>280</v>
      </c>
      <c r="C119" s="17" t="s">
        <v>156</v>
      </c>
      <c r="D119" s="15">
        <v>150</v>
      </c>
      <c r="E119" s="128">
        <v>1030</v>
      </c>
    </row>
    <row r="120" spans="2:6" ht="33.75" x14ac:dyDescent="0.5">
      <c r="B120" s="37"/>
      <c r="C120" s="92" t="s">
        <v>251</v>
      </c>
      <c r="D120" s="15">
        <v>80</v>
      </c>
      <c r="E120" s="123"/>
    </row>
    <row r="121" spans="2:6" ht="33.75" x14ac:dyDescent="0.25">
      <c r="B121" s="37"/>
      <c r="C121" s="93" t="s">
        <v>252</v>
      </c>
      <c r="D121" s="15">
        <v>80</v>
      </c>
      <c r="E121" s="123"/>
    </row>
    <row r="122" spans="2:6" ht="36" x14ac:dyDescent="0.25">
      <c r="B122" s="37"/>
      <c r="C122" s="19" t="s">
        <v>20</v>
      </c>
      <c r="D122" s="15">
        <v>400</v>
      </c>
      <c r="E122" s="123"/>
    </row>
    <row r="123" spans="2:6" ht="36" x14ac:dyDescent="0.25">
      <c r="B123" s="37"/>
      <c r="C123" s="106" t="s">
        <v>274</v>
      </c>
      <c r="D123" s="15">
        <v>120</v>
      </c>
      <c r="E123" s="123"/>
    </row>
    <row r="124" spans="2:6" ht="33.75" x14ac:dyDescent="0.25">
      <c r="B124" s="37"/>
      <c r="C124" s="94" t="s">
        <v>26</v>
      </c>
      <c r="D124" s="15">
        <v>100</v>
      </c>
      <c r="E124" s="123"/>
      <c r="F124" t="s">
        <v>231</v>
      </c>
    </row>
    <row r="125" spans="2:6" ht="35.25" x14ac:dyDescent="0.35">
      <c r="B125" s="37"/>
      <c r="C125" s="19" t="s">
        <v>169</v>
      </c>
      <c r="D125" s="15">
        <v>100</v>
      </c>
      <c r="E125" s="124"/>
      <c r="F125" s="81" t="s">
        <v>231</v>
      </c>
    </row>
    <row r="126" spans="2:6" ht="36" x14ac:dyDescent="0.25">
      <c r="B126" s="37" t="s">
        <v>281</v>
      </c>
      <c r="C126" s="17" t="s">
        <v>110</v>
      </c>
      <c r="D126" s="15">
        <v>50</v>
      </c>
      <c r="E126" s="128">
        <v>605</v>
      </c>
    </row>
    <row r="127" spans="2:6" ht="33.75" x14ac:dyDescent="0.5">
      <c r="B127" s="37"/>
      <c r="C127" s="92" t="s">
        <v>251</v>
      </c>
      <c r="D127" s="15">
        <v>60</v>
      </c>
      <c r="E127" s="123"/>
    </row>
    <row r="128" spans="2:6" ht="62.25" x14ac:dyDescent="0.25">
      <c r="B128" s="37"/>
      <c r="C128" s="95" t="s">
        <v>254</v>
      </c>
      <c r="D128" s="15">
        <v>15</v>
      </c>
      <c r="E128" s="123"/>
    </row>
    <row r="129" spans="1:6" ht="36" x14ac:dyDescent="0.25">
      <c r="B129" s="37"/>
      <c r="C129" s="19" t="s">
        <v>20</v>
      </c>
      <c r="D129" s="15">
        <v>100</v>
      </c>
      <c r="E129" s="123"/>
    </row>
    <row r="130" spans="1:6" ht="36" x14ac:dyDescent="0.25">
      <c r="B130" s="37"/>
      <c r="C130" s="106" t="s">
        <v>274</v>
      </c>
      <c r="D130" s="15">
        <v>120</v>
      </c>
      <c r="E130" s="123"/>
    </row>
    <row r="131" spans="1:6" ht="33.75" x14ac:dyDescent="0.25">
      <c r="B131" s="37"/>
      <c r="C131" s="94" t="s">
        <v>26</v>
      </c>
      <c r="D131" s="15">
        <v>80</v>
      </c>
      <c r="E131" s="123"/>
      <c r="F131" t="s">
        <v>231</v>
      </c>
    </row>
    <row r="132" spans="1:6" ht="35.25" x14ac:dyDescent="0.35">
      <c r="B132" s="37"/>
      <c r="C132" s="19" t="s">
        <v>169</v>
      </c>
      <c r="D132" s="15">
        <v>180</v>
      </c>
      <c r="E132" s="124"/>
      <c r="F132" s="82">
        <v>12950.9</v>
      </c>
    </row>
    <row r="133" spans="1:6" ht="33.75" x14ac:dyDescent="0.5">
      <c r="A133" t="s">
        <v>282</v>
      </c>
      <c r="B133" s="37" t="s">
        <v>283</v>
      </c>
      <c r="C133" s="92" t="s">
        <v>251</v>
      </c>
      <c r="D133" s="15">
        <v>70</v>
      </c>
      <c r="E133" s="128">
        <v>510</v>
      </c>
      <c r="F133" s="82"/>
    </row>
    <row r="134" spans="1:6" ht="36" x14ac:dyDescent="0.35">
      <c r="B134" s="37"/>
      <c r="C134" s="17" t="s">
        <v>156</v>
      </c>
      <c r="D134" s="15">
        <v>100</v>
      </c>
      <c r="E134" s="123"/>
      <c r="F134" s="82"/>
    </row>
    <row r="135" spans="1:6" ht="33.75" x14ac:dyDescent="0.35">
      <c r="B135" s="37"/>
      <c r="C135" s="93" t="s">
        <v>252</v>
      </c>
      <c r="D135" s="15">
        <v>60</v>
      </c>
      <c r="E135" s="123"/>
      <c r="F135" s="82"/>
    </row>
    <row r="136" spans="1:6" ht="62.25" x14ac:dyDescent="0.35">
      <c r="B136" s="37"/>
      <c r="C136" s="95" t="s">
        <v>254</v>
      </c>
      <c r="D136" s="15">
        <v>20</v>
      </c>
      <c r="E136" s="123"/>
      <c r="F136" s="82"/>
    </row>
    <row r="137" spans="1:6" ht="36" x14ac:dyDescent="0.25">
      <c r="B137" s="37"/>
      <c r="C137" s="106" t="s">
        <v>274</v>
      </c>
      <c r="D137" s="15">
        <v>200</v>
      </c>
      <c r="E137" s="123"/>
    </row>
    <row r="138" spans="1:6" ht="33.75" x14ac:dyDescent="0.25">
      <c r="B138" s="37"/>
      <c r="C138" s="94" t="s">
        <v>26</v>
      </c>
      <c r="D138" s="15">
        <v>60</v>
      </c>
      <c r="E138" s="124"/>
    </row>
    <row r="139" spans="1:6" ht="36" x14ac:dyDescent="0.25">
      <c r="B139" s="37" t="s">
        <v>284</v>
      </c>
      <c r="C139" s="17" t="s">
        <v>156</v>
      </c>
      <c r="D139" s="15">
        <v>100</v>
      </c>
      <c r="E139" s="128">
        <v>730</v>
      </c>
    </row>
    <row r="140" spans="1:6" ht="36" x14ac:dyDescent="0.25">
      <c r="B140" s="37"/>
      <c r="C140" s="17" t="s">
        <v>165</v>
      </c>
      <c r="D140" s="15">
        <v>80</v>
      </c>
      <c r="E140" s="123"/>
    </row>
    <row r="141" spans="1:6" ht="33.75" x14ac:dyDescent="0.5">
      <c r="B141" s="37"/>
      <c r="C141" s="92" t="s">
        <v>251</v>
      </c>
      <c r="D141" s="15">
        <v>90</v>
      </c>
      <c r="E141" s="123"/>
    </row>
    <row r="142" spans="1:6" ht="33.75" x14ac:dyDescent="0.25">
      <c r="B142" s="37"/>
      <c r="C142" s="93" t="s">
        <v>252</v>
      </c>
      <c r="D142" s="15">
        <v>70</v>
      </c>
      <c r="E142" s="123"/>
    </row>
    <row r="143" spans="1:6" ht="36" x14ac:dyDescent="0.25">
      <c r="B143" s="37"/>
      <c r="C143" s="106" t="s">
        <v>274</v>
      </c>
      <c r="D143" s="15">
        <v>100</v>
      </c>
      <c r="E143" s="123"/>
    </row>
    <row r="144" spans="1:6" ht="33.75" x14ac:dyDescent="0.25">
      <c r="B144" s="37"/>
      <c r="C144" s="94" t="s">
        <v>26</v>
      </c>
      <c r="D144" s="15">
        <v>90</v>
      </c>
      <c r="E144" s="123"/>
    </row>
    <row r="145" spans="2:5" ht="35.25" x14ac:dyDescent="0.25">
      <c r="B145" s="37"/>
      <c r="C145" s="19" t="s">
        <v>253</v>
      </c>
      <c r="D145" s="15">
        <v>100</v>
      </c>
      <c r="E145" s="123"/>
    </row>
    <row r="146" spans="2:5" ht="36" thickBot="1" x14ac:dyDescent="0.3">
      <c r="B146" s="37"/>
      <c r="C146" s="19" t="s">
        <v>169</v>
      </c>
      <c r="D146" s="15">
        <v>100</v>
      </c>
      <c r="E146" s="124"/>
    </row>
    <row r="147" spans="2:5" x14ac:dyDescent="0.25">
      <c r="B147" s="170" t="s">
        <v>287</v>
      </c>
      <c r="C147" s="153"/>
      <c r="D147" s="153"/>
      <c r="E147" s="154"/>
    </row>
    <row r="148" spans="2:5" ht="274.5" customHeight="1" thickBot="1" x14ac:dyDescent="0.3">
      <c r="B148" s="155"/>
      <c r="C148" s="156"/>
      <c r="D148" s="156"/>
      <c r="E148" s="157"/>
    </row>
  </sheetData>
  <mergeCells count="27">
    <mergeCell ref="E133:E138"/>
    <mergeCell ref="E139:E146"/>
    <mergeCell ref="B147:E148"/>
    <mergeCell ref="E57:E59"/>
    <mergeCell ref="E54:E56"/>
    <mergeCell ref="E90:E92"/>
    <mergeCell ref="E119:E125"/>
    <mergeCell ref="E60:E64"/>
    <mergeCell ref="E103:E105"/>
    <mergeCell ref="E94:E97"/>
    <mergeCell ref="E72:E77"/>
    <mergeCell ref="E65:E71"/>
    <mergeCell ref="E126:E132"/>
    <mergeCell ref="E98:E102"/>
    <mergeCell ref="E106:E111"/>
    <mergeCell ref="E112:E118"/>
    <mergeCell ref="E78:E82"/>
    <mergeCell ref="E83:E89"/>
    <mergeCell ref="B4:E4"/>
    <mergeCell ref="E6:E11"/>
    <mergeCell ref="E12:E16"/>
    <mergeCell ref="E17:E24"/>
    <mergeCell ref="E46:E53"/>
    <mergeCell ref="E44:E45"/>
    <mergeCell ref="E39:E43"/>
    <mergeCell ref="E32:E38"/>
    <mergeCell ref="E25:E31"/>
  </mergeCells>
  <pageMargins left="0.7" right="0.7" top="0.75" bottom="0.75" header="0.3" footer="0.3"/>
  <pageSetup paperSize="9" orientation="portrait" horizontalDpi="0" verticalDpi="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793D40-E93C-40A7-960B-12D6C945E21B}">
  <dimension ref="B2:F14"/>
  <sheetViews>
    <sheetView topLeftCell="A10" workbookViewId="0">
      <selection activeCell="C25" sqref="C25"/>
    </sheetView>
  </sheetViews>
  <sheetFormatPr defaultRowHeight="15" x14ac:dyDescent="0.25"/>
  <cols>
    <col min="2" max="2" width="13.28515625" customWidth="1"/>
    <col min="3" max="3" width="38.140625" customWidth="1"/>
    <col min="4" max="4" width="23.7109375" customWidth="1"/>
    <col min="5" max="5" width="18.7109375" customWidth="1"/>
    <col min="6" max="6" width="22.5703125" customWidth="1"/>
  </cols>
  <sheetData>
    <row r="2" spans="2:6" ht="15.75" thickBot="1" x14ac:dyDescent="0.3"/>
    <row r="3" spans="2:6" ht="109.5" customHeight="1" x14ac:dyDescent="0.25">
      <c r="B3" s="177" t="s">
        <v>285</v>
      </c>
      <c r="C3" s="178"/>
      <c r="D3" s="178"/>
      <c r="E3" s="178"/>
      <c r="F3" s="179"/>
    </row>
    <row r="4" spans="2:6" ht="29.25" thickBot="1" x14ac:dyDescent="0.3">
      <c r="B4" s="83" t="s">
        <v>2</v>
      </c>
      <c r="C4" s="84" t="s">
        <v>3</v>
      </c>
      <c r="D4" s="85" t="s">
        <v>4</v>
      </c>
      <c r="E4" s="86" t="s">
        <v>5</v>
      </c>
      <c r="F4" s="87" t="s">
        <v>6</v>
      </c>
    </row>
    <row r="5" spans="2:6" ht="28.5" x14ac:dyDescent="0.45">
      <c r="B5" s="88">
        <v>1</v>
      </c>
      <c r="C5" s="61" t="s">
        <v>299</v>
      </c>
      <c r="D5" s="61">
        <v>1200</v>
      </c>
      <c r="E5" s="89">
        <v>92</v>
      </c>
      <c r="F5" s="90">
        <f>E5*D5</f>
        <v>110400</v>
      </c>
    </row>
    <row r="6" spans="2:6" ht="28.5" x14ac:dyDescent="0.45">
      <c r="B6" s="88">
        <v>2</v>
      </c>
      <c r="C6" s="90" t="s">
        <v>303</v>
      </c>
      <c r="D6" s="61">
        <v>1200</v>
      </c>
      <c r="E6" s="89">
        <v>92</v>
      </c>
      <c r="F6" s="90">
        <f t="shared" ref="F6:F11" si="0">E6*D6</f>
        <v>110400</v>
      </c>
    </row>
    <row r="7" spans="2:6" ht="28.5" x14ac:dyDescent="0.45">
      <c r="B7" s="88">
        <v>3</v>
      </c>
      <c r="C7" s="90" t="s">
        <v>305</v>
      </c>
      <c r="D7" s="61">
        <v>1000</v>
      </c>
      <c r="E7" s="89">
        <v>92</v>
      </c>
      <c r="F7" s="90">
        <f t="shared" si="0"/>
        <v>92000</v>
      </c>
    </row>
    <row r="8" spans="2:6" ht="28.5" x14ac:dyDescent="0.45">
      <c r="B8" s="88">
        <v>4</v>
      </c>
      <c r="C8" s="90" t="s">
        <v>306</v>
      </c>
      <c r="D8" s="61">
        <v>1000</v>
      </c>
      <c r="E8" s="89">
        <v>92</v>
      </c>
      <c r="F8" s="90">
        <f t="shared" si="0"/>
        <v>92000</v>
      </c>
    </row>
    <row r="9" spans="2:6" ht="28.5" x14ac:dyDescent="0.45">
      <c r="B9" s="88">
        <v>5</v>
      </c>
      <c r="C9" s="90" t="s">
        <v>307</v>
      </c>
      <c r="D9" s="61">
        <v>1000</v>
      </c>
      <c r="E9" s="89">
        <v>92</v>
      </c>
      <c r="F9" s="90">
        <f t="shared" si="0"/>
        <v>92000</v>
      </c>
    </row>
    <row r="10" spans="2:6" ht="28.5" x14ac:dyDescent="0.45">
      <c r="B10" s="88">
        <v>6</v>
      </c>
      <c r="C10" s="90" t="s">
        <v>310</v>
      </c>
      <c r="D10" s="61">
        <v>1000</v>
      </c>
      <c r="E10" s="89">
        <v>92</v>
      </c>
      <c r="F10" s="90">
        <f t="shared" si="0"/>
        <v>92000</v>
      </c>
    </row>
    <row r="11" spans="2:6" ht="28.5" x14ac:dyDescent="0.45">
      <c r="B11" s="88">
        <v>7</v>
      </c>
      <c r="C11" s="90" t="s">
        <v>318</v>
      </c>
      <c r="D11" s="61">
        <v>1500</v>
      </c>
      <c r="E11" s="89">
        <v>92</v>
      </c>
      <c r="F11" s="90">
        <f t="shared" si="0"/>
        <v>138000</v>
      </c>
    </row>
    <row r="12" spans="2:6" ht="28.5" x14ac:dyDescent="0.45">
      <c r="B12" s="88"/>
      <c r="C12" s="90"/>
      <c r="D12" s="61"/>
      <c r="E12" s="89"/>
      <c r="F12" s="90"/>
    </row>
    <row r="13" spans="2:6" ht="28.5" x14ac:dyDescent="0.25">
      <c r="B13" s="180" t="s">
        <v>12</v>
      </c>
      <c r="C13" s="180"/>
      <c r="D13" s="61">
        <v>7900</v>
      </c>
      <c r="E13" s="91">
        <v>92</v>
      </c>
      <c r="F13" s="61">
        <f>E13*D13</f>
        <v>726800</v>
      </c>
    </row>
    <row r="14" spans="2:6" ht="28.5" x14ac:dyDescent="0.45">
      <c r="B14" s="181" t="s">
        <v>13</v>
      </c>
      <c r="C14" s="182"/>
      <c r="D14" s="7"/>
      <c r="E14" s="7"/>
      <c r="F14" s="7"/>
    </row>
  </sheetData>
  <mergeCells count="3">
    <mergeCell ref="B3:F3"/>
    <mergeCell ref="B13:C13"/>
    <mergeCell ref="B14:C14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4514FD-CB3A-4CB9-B57A-308C8C5B948A}">
  <dimension ref="B3:F174"/>
  <sheetViews>
    <sheetView topLeftCell="A172" workbookViewId="0">
      <selection activeCell="B173" sqref="B173:E174"/>
    </sheetView>
  </sheetViews>
  <sheetFormatPr defaultRowHeight="15" x14ac:dyDescent="0.25"/>
  <cols>
    <col min="2" max="2" width="30.42578125" customWidth="1"/>
    <col min="3" max="3" width="57.85546875" customWidth="1"/>
    <col min="4" max="4" width="16.85546875" customWidth="1"/>
    <col min="5" max="5" width="21.85546875" customWidth="1"/>
  </cols>
  <sheetData>
    <row r="3" spans="2:5" ht="15.75" thickBot="1" x14ac:dyDescent="0.3"/>
    <row r="4" spans="2:5" ht="71.25" customHeight="1" thickBot="1" x14ac:dyDescent="0.3">
      <c r="B4" s="125" t="s">
        <v>286</v>
      </c>
      <c r="C4" s="126"/>
      <c r="D4" s="126"/>
      <c r="E4" s="127"/>
    </row>
    <row r="5" spans="2:5" ht="29.25" customHeight="1" x14ac:dyDescent="0.25">
      <c r="B5" s="14" t="s">
        <v>15</v>
      </c>
      <c r="C5" s="15" t="s">
        <v>16</v>
      </c>
      <c r="D5" s="15" t="s">
        <v>17</v>
      </c>
      <c r="E5" s="16" t="s">
        <v>18</v>
      </c>
    </row>
    <row r="6" spans="2:5" ht="39.75" customHeight="1" x14ac:dyDescent="0.5">
      <c r="B6" s="62" t="s">
        <v>288</v>
      </c>
      <c r="C6" s="92" t="s">
        <v>251</v>
      </c>
      <c r="D6" s="15">
        <v>50</v>
      </c>
      <c r="E6" s="183">
        <v>170</v>
      </c>
    </row>
    <row r="7" spans="2:5" ht="42" customHeight="1" x14ac:dyDescent="0.25">
      <c r="B7" s="37"/>
      <c r="C7" s="93" t="s">
        <v>252</v>
      </c>
      <c r="D7" s="15">
        <v>50</v>
      </c>
      <c r="E7" s="183"/>
    </row>
    <row r="8" spans="2:5" ht="59.25" customHeight="1" x14ac:dyDescent="0.25">
      <c r="B8" s="37"/>
      <c r="C8" s="95" t="s">
        <v>254</v>
      </c>
      <c r="D8" s="15">
        <v>10</v>
      </c>
      <c r="E8" s="183"/>
    </row>
    <row r="9" spans="2:5" ht="36" customHeight="1" x14ac:dyDescent="0.25">
      <c r="B9" s="37"/>
      <c r="C9" s="94" t="s">
        <v>26</v>
      </c>
      <c r="D9" s="15">
        <v>60</v>
      </c>
      <c r="E9" s="183"/>
    </row>
    <row r="10" spans="2:5" ht="42.75" customHeight="1" x14ac:dyDescent="0.5">
      <c r="B10" s="37" t="s">
        <v>289</v>
      </c>
      <c r="C10" s="92" t="s">
        <v>251</v>
      </c>
      <c r="D10" s="15">
        <v>60</v>
      </c>
      <c r="E10" s="183">
        <v>400</v>
      </c>
    </row>
    <row r="11" spans="2:5" ht="42.75" customHeight="1" x14ac:dyDescent="0.25">
      <c r="B11" s="37"/>
      <c r="C11" s="93" t="s">
        <v>252</v>
      </c>
      <c r="D11" s="15">
        <v>50</v>
      </c>
      <c r="E11" s="183"/>
    </row>
    <row r="12" spans="2:5" ht="42.75" customHeight="1" x14ac:dyDescent="0.25">
      <c r="B12" s="37"/>
      <c r="C12" s="94" t="s">
        <v>26</v>
      </c>
      <c r="D12" s="15">
        <v>60</v>
      </c>
      <c r="E12" s="183"/>
    </row>
    <row r="13" spans="2:5" ht="42.75" customHeight="1" x14ac:dyDescent="0.25">
      <c r="B13" s="37"/>
      <c r="C13" s="106" t="s">
        <v>274</v>
      </c>
      <c r="D13" s="15">
        <v>100</v>
      </c>
      <c r="E13" s="183"/>
    </row>
    <row r="14" spans="2:5" ht="42.75" customHeight="1" x14ac:dyDescent="0.25">
      <c r="B14" s="37"/>
      <c r="C14" s="19" t="s">
        <v>253</v>
      </c>
      <c r="D14" s="15">
        <v>100</v>
      </c>
      <c r="E14" s="183"/>
    </row>
    <row r="15" spans="2:5" ht="42.75" customHeight="1" x14ac:dyDescent="0.25">
      <c r="B15" s="37"/>
      <c r="C15" s="19" t="s">
        <v>169</v>
      </c>
      <c r="D15" s="15">
        <v>30</v>
      </c>
      <c r="E15" s="183"/>
    </row>
    <row r="16" spans="2:5" ht="42.75" customHeight="1" x14ac:dyDescent="0.25">
      <c r="B16" s="37" t="s">
        <v>290</v>
      </c>
      <c r="C16" s="17" t="s">
        <v>156</v>
      </c>
      <c r="D16" s="15">
        <v>30</v>
      </c>
      <c r="E16" s="183">
        <v>310</v>
      </c>
    </row>
    <row r="17" spans="2:5" ht="42.75" customHeight="1" x14ac:dyDescent="0.5">
      <c r="B17" s="37"/>
      <c r="C17" s="92" t="s">
        <v>251</v>
      </c>
      <c r="D17" s="15">
        <v>70</v>
      </c>
      <c r="E17" s="183"/>
    </row>
    <row r="18" spans="2:5" ht="49.5" customHeight="1" x14ac:dyDescent="0.25">
      <c r="B18" s="37"/>
      <c r="C18" s="95" t="s">
        <v>254</v>
      </c>
      <c r="D18" s="15">
        <v>25</v>
      </c>
      <c r="E18" s="183"/>
    </row>
    <row r="19" spans="2:5" ht="42.75" customHeight="1" x14ac:dyDescent="0.25">
      <c r="B19" s="37"/>
      <c r="C19" s="94" t="s">
        <v>26</v>
      </c>
      <c r="D19" s="15">
        <v>65</v>
      </c>
      <c r="E19" s="183"/>
    </row>
    <row r="20" spans="2:5" ht="42.75" customHeight="1" x14ac:dyDescent="0.25">
      <c r="B20" s="37"/>
      <c r="C20" s="106" t="s">
        <v>274</v>
      </c>
      <c r="D20" s="15">
        <v>70</v>
      </c>
      <c r="E20" s="183"/>
    </row>
    <row r="21" spans="2:5" ht="42.75" customHeight="1" x14ac:dyDescent="0.25">
      <c r="B21" s="37"/>
      <c r="C21" s="19" t="s">
        <v>253</v>
      </c>
      <c r="D21" s="15">
        <v>50</v>
      </c>
      <c r="E21" s="183"/>
    </row>
    <row r="22" spans="2:5" ht="42.75" customHeight="1" x14ac:dyDescent="0.25">
      <c r="B22" s="37" t="s">
        <v>291</v>
      </c>
      <c r="C22" s="17" t="s">
        <v>156</v>
      </c>
      <c r="D22" s="15">
        <v>130</v>
      </c>
      <c r="E22" s="183">
        <v>965</v>
      </c>
    </row>
    <row r="23" spans="2:5" ht="42.75" customHeight="1" x14ac:dyDescent="0.25">
      <c r="B23" s="37"/>
      <c r="C23" s="17" t="s">
        <v>110</v>
      </c>
      <c r="D23" s="15">
        <v>50</v>
      </c>
      <c r="E23" s="183"/>
    </row>
    <row r="24" spans="2:5" ht="42.75" customHeight="1" x14ac:dyDescent="0.5">
      <c r="B24" s="37"/>
      <c r="C24" s="92" t="s">
        <v>251</v>
      </c>
      <c r="D24" s="15">
        <v>90</v>
      </c>
      <c r="E24" s="183"/>
    </row>
    <row r="25" spans="2:5" ht="42.75" customHeight="1" x14ac:dyDescent="0.25">
      <c r="B25" s="37"/>
      <c r="C25" s="93" t="s">
        <v>252</v>
      </c>
      <c r="D25" s="15">
        <v>60</v>
      </c>
      <c r="E25" s="183"/>
    </row>
    <row r="26" spans="2:5" ht="58.5" customHeight="1" x14ac:dyDescent="0.25">
      <c r="B26" s="37"/>
      <c r="C26" s="19" t="s">
        <v>20</v>
      </c>
      <c r="D26" s="15">
        <v>300</v>
      </c>
      <c r="E26" s="183"/>
    </row>
    <row r="27" spans="2:5" ht="42.75" customHeight="1" x14ac:dyDescent="0.25">
      <c r="B27" s="37"/>
      <c r="C27" s="94" t="s">
        <v>26</v>
      </c>
      <c r="D27" s="15">
        <v>100</v>
      </c>
      <c r="E27" s="183"/>
    </row>
    <row r="28" spans="2:5" ht="42.75" customHeight="1" x14ac:dyDescent="0.25">
      <c r="B28" s="37"/>
      <c r="C28" s="106" t="s">
        <v>274</v>
      </c>
      <c r="D28" s="15">
        <v>135</v>
      </c>
      <c r="E28" s="183"/>
    </row>
    <row r="29" spans="2:5" ht="42.75" customHeight="1" x14ac:dyDescent="0.25">
      <c r="B29" s="37"/>
      <c r="C29" s="19" t="s">
        <v>253</v>
      </c>
      <c r="D29" s="15">
        <v>100</v>
      </c>
      <c r="E29" s="183"/>
    </row>
    <row r="30" spans="2:5" ht="42.75" customHeight="1" x14ac:dyDescent="0.25">
      <c r="B30" s="37" t="s">
        <v>292</v>
      </c>
      <c r="C30" s="17" t="s">
        <v>156</v>
      </c>
      <c r="D30" s="15">
        <v>50</v>
      </c>
      <c r="E30" s="128">
        <v>520</v>
      </c>
    </row>
    <row r="31" spans="2:5" ht="42.75" customHeight="1" x14ac:dyDescent="0.5">
      <c r="B31" s="37"/>
      <c r="C31" s="92" t="s">
        <v>251</v>
      </c>
      <c r="D31" s="15">
        <v>80</v>
      </c>
      <c r="E31" s="123"/>
    </row>
    <row r="32" spans="2:5" ht="42.75" customHeight="1" x14ac:dyDescent="0.25">
      <c r="B32" s="37"/>
      <c r="C32" s="93" t="s">
        <v>252</v>
      </c>
      <c r="D32" s="15">
        <v>50</v>
      </c>
      <c r="E32" s="123"/>
    </row>
    <row r="33" spans="2:6" ht="67.5" customHeight="1" x14ac:dyDescent="0.25">
      <c r="B33" s="37"/>
      <c r="C33" s="95" t="s">
        <v>254</v>
      </c>
      <c r="D33" s="15">
        <v>10</v>
      </c>
      <c r="E33" s="123"/>
    </row>
    <row r="34" spans="2:6" ht="42.75" customHeight="1" x14ac:dyDescent="0.25">
      <c r="B34" s="37"/>
      <c r="C34" s="94" t="s">
        <v>26</v>
      </c>
      <c r="D34" s="15">
        <v>100</v>
      </c>
      <c r="E34" s="123"/>
    </row>
    <row r="35" spans="2:6" ht="42.75" customHeight="1" x14ac:dyDescent="0.25">
      <c r="B35" s="37"/>
      <c r="C35" s="106" t="s">
        <v>274</v>
      </c>
      <c r="D35" s="15">
        <v>100</v>
      </c>
      <c r="E35" s="123"/>
    </row>
    <row r="36" spans="2:6" ht="42.75" customHeight="1" x14ac:dyDescent="0.25">
      <c r="B36" s="37"/>
      <c r="C36" s="19" t="s">
        <v>253</v>
      </c>
      <c r="D36" s="15">
        <v>80</v>
      </c>
      <c r="E36" s="123"/>
    </row>
    <row r="37" spans="2:6" ht="42.75" customHeight="1" x14ac:dyDescent="0.35">
      <c r="B37" s="37"/>
      <c r="C37" s="19" t="s">
        <v>169</v>
      </c>
      <c r="D37" s="15">
        <v>50</v>
      </c>
      <c r="E37" s="123"/>
      <c r="F37" s="103">
        <v>2365</v>
      </c>
    </row>
    <row r="38" spans="2:6" ht="42.75" customHeight="1" x14ac:dyDescent="0.25">
      <c r="B38" s="37" t="s">
        <v>293</v>
      </c>
      <c r="C38" s="17" t="s">
        <v>110</v>
      </c>
      <c r="D38" s="15">
        <v>60</v>
      </c>
      <c r="E38" s="123">
        <v>915</v>
      </c>
    </row>
    <row r="39" spans="2:6" ht="42.75" customHeight="1" x14ac:dyDescent="0.25">
      <c r="B39" s="37"/>
      <c r="C39" s="17" t="s">
        <v>156</v>
      </c>
      <c r="D39" s="15">
        <v>100</v>
      </c>
      <c r="E39" s="123"/>
    </row>
    <row r="40" spans="2:6" ht="42.75" customHeight="1" x14ac:dyDescent="0.5">
      <c r="B40" s="37"/>
      <c r="C40" s="92" t="s">
        <v>251</v>
      </c>
      <c r="D40" s="15">
        <v>80</v>
      </c>
      <c r="E40" s="123"/>
    </row>
    <row r="41" spans="2:6" ht="42.75" customHeight="1" x14ac:dyDescent="0.25">
      <c r="B41" s="37"/>
      <c r="C41" s="93" t="s">
        <v>252</v>
      </c>
      <c r="D41" s="15">
        <v>70</v>
      </c>
      <c r="E41" s="123"/>
    </row>
    <row r="42" spans="2:6" ht="42.75" customHeight="1" x14ac:dyDescent="0.25">
      <c r="B42" s="37"/>
      <c r="C42" s="19" t="s">
        <v>20</v>
      </c>
      <c r="D42" s="15">
        <v>300</v>
      </c>
      <c r="E42" s="123"/>
    </row>
    <row r="43" spans="2:6" ht="58.5" customHeight="1" x14ac:dyDescent="0.25">
      <c r="B43" s="37"/>
      <c r="C43" s="95" t="s">
        <v>254</v>
      </c>
      <c r="D43" s="15">
        <v>15</v>
      </c>
      <c r="E43" s="123"/>
    </row>
    <row r="44" spans="2:6" ht="42.75" customHeight="1" x14ac:dyDescent="0.25">
      <c r="B44" s="37"/>
      <c r="C44" s="94" t="s">
        <v>26</v>
      </c>
      <c r="D44" s="15">
        <v>90</v>
      </c>
      <c r="E44" s="123"/>
    </row>
    <row r="45" spans="2:6" ht="42.75" customHeight="1" x14ac:dyDescent="0.25">
      <c r="B45" s="37"/>
      <c r="C45" s="106" t="s">
        <v>274</v>
      </c>
      <c r="D45" s="15">
        <v>100</v>
      </c>
      <c r="E45" s="123"/>
    </row>
    <row r="46" spans="2:6" ht="42.75" customHeight="1" x14ac:dyDescent="0.25">
      <c r="B46" s="37"/>
      <c r="C46" s="19" t="s">
        <v>169</v>
      </c>
      <c r="D46" s="15">
        <v>100</v>
      </c>
      <c r="E46" s="123"/>
    </row>
    <row r="47" spans="2:6" ht="42.75" customHeight="1" x14ac:dyDescent="0.25">
      <c r="B47" s="37" t="s">
        <v>294</v>
      </c>
      <c r="C47" s="17" t="s">
        <v>156</v>
      </c>
      <c r="D47" s="15">
        <v>100</v>
      </c>
      <c r="E47" s="183">
        <v>680</v>
      </c>
    </row>
    <row r="48" spans="2:6" ht="42.75" customHeight="1" x14ac:dyDescent="0.5">
      <c r="B48" s="37"/>
      <c r="C48" s="92" t="s">
        <v>251</v>
      </c>
      <c r="D48" s="15">
        <v>80</v>
      </c>
      <c r="E48" s="183"/>
    </row>
    <row r="49" spans="2:6" ht="42.75" customHeight="1" x14ac:dyDescent="0.25">
      <c r="B49" s="43"/>
      <c r="C49" s="93" t="s">
        <v>252</v>
      </c>
      <c r="D49" s="44">
        <v>60</v>
      </c>
      <c r="E49" s="183"/>
    </row>
    <row r="50" spans="2:6" ht="42.75" customHeight="1" x14ac:dyDescent="0.25">
      <c r="B50" s="43"/>
      <c r="C50" s="94" t="s">
        <v>26</v>
      </c>
      <c r="D50" s="44">
        <v>110</v>
      </c>
      <c r="E50" s="183"/>
    </row>
    <row r="51" spans="2:6" ht="42.75" customHeight="1" x14ac:dyDescent="0.25">
      <c r="B51" s="43"/>
      <c r="C51" s="106" t="s">
        <v>274</v>
      </c>
      <c r="D51" s="44">
        <v>130</v>
      </c>
      <c r="E51" s="183"/>
    </row>
    <row r="52" spans="2:6" ht="42.75" customHeight="1" x14ac:dyDescent="0.25">
      <c r="B52" s="43"/>
      <c r="C52" s="19" t="s">
        <v>253</v>
      </c>
      <c r="D52" s="44">
        <v>100</v>
      </c>
      <c r="E52" s="183"/>
    </row>
    <row r="53" spans="2:6" ht="42.75" customHeight="1" x14ac:dyDescent="0.25">
      <c r="B53" s="43"/>
      <c r="C53" s="19" t="s">
        <v>169</v>
      </c>
      <c r="D53" s="44">
        <v>100</v>
      </c>
      <c r="E53" s="183"/>
    </row>
    <row r="54" spans="2:6" ht="42.75" customHeight="1" x14ac:dyDescent="0.5">
      <c r="B54" s="43" t="s">
        <v>295</v>
      </c>
      <c r="C54" s="92" t="s">
        <v>251</v>
      </c>
      <c r="D54" s="44">
        <v>80</v>
      </c>
      <c r="E54" s="128">
        <v>418.92</v>
      </c>
    </row>
    <row r="55" spans="2:6" ht="42.75" customHeight="1" x14ac:dyDescent="0.25">
      <c r="B55" s="43"/>
      <c r="C55" s="93" t="s">
        <v>252</v>
      </c>
      <c r="D55" s="44">
        <v>60</v>
      </c>
      <c r="E55" s="123"/>
    </row>
    <row r="56" spans="2:6" ht="56.25" customHeight="1" x14ac:dyDescent="0.25">
      <c r="B56" s="43"/>
      <c r="C56" s="95" t="s">
        <v>254</v>
      </c>
      <c r="D56" s="44">
        <v>14.92</v>
      </c>
      <c r="E56" s="123"/>
    </row>
    <row r="57" spans="2:6" ht="42.75" customHeight="1" x14ac:dyDescent="0.25">
      <c r="B57" s="43"/>
      <c r="C57" s="94" t="s">
        <v>26</v>
      </c>
      <c r="D57" s="44">
        <v>100</v>
      </c>
      <c r="E57" s="123"/>
    </row>
    <row r="58" spans="2:6" ht="42.75" customHeight="1" x14ac:dyDescent="0.25">
      <c r="B58" s="43"/>
      <c r="C58" s="106" t="s">
        <v>274</v>
      </c>
      <c r="D58" s="44">
        <v>114</v>
      </c>
      <c r="E58" s="123"/>
    </row>
    <row r="59" spans="2:6" ht="42.75" customHeight="1" x14ac:dyDescent="0.25">
      <c r="B59" s="37"/>
      <c r="C59" s="19" t="s">
        <v>253</v>
      </c>
      <c r="D59" s="15">
        <v>50</v>
      </c>
      <c r="E59" s="124"/>
      <c r="F59">
        <v>4378.92</v>
      </c>
    </row>
    <row r="60" spans="2:6" ht="42.75" customHeight="1" x14ac:dyDescent="0.5">
      <c r="B60" s="37" t="s">
        <v>296</v>
      </c>
      <c r="C60" s="92" t="s">
        <v>251</v>
      </c>
      <c r="D60" s="15">
        <v>50</v>
      </c>
      <c r="E60" s="128">
        <v>800</v>
      </c>
    </row>
    <row r="61" spans="2:6" ht="42.75" customHeight="1" x14ac:dyDescent="0.25">
      <c r="B61" s="37"/>
      <c r="C61" s="93" t="s">
        <v>252</v>
      </c>
      <c r="D61" s="15">
        <v>60</v>
      </c>
      <c r="E61" s="123"/>
    </row>
    <row r="62" spans="2:6" ht="42.75" customHeight="1" x14ac:dyDescent="0.25">
      <c r="B62" s="37"/>
      <c r="C62" s="17" t="s">
        <v>156</v>
      </c>
      <c r="D62" s="15">
        <v>180</v>
      </c>
      <c r="E62" s="123"/>
    </row>
    <row r="63" spans="2:6" ht="42.75" customHeight="1" x14ac:dyDescent="0.25">
      <c r="B63" s="37"/>
      <c r="C63" s="19" t="s">
        <v>20</v>
      </c>
      <c r="D63" s="15">
        <v>250</v>
      </c>
      <c r="E63" s="123"/>
    </row>
    <row r="64" spans="2:6" ht="69" customHeight="1" x14ac:dyDescent="0.25">
      <c r="B64" s="37"/>
      <c r="C64" s="95" t="s">
        <v>254</v>
      </c>
      <c r="D64" s="15">
        <v>20</v>
      </c>
      <c r="E64" s="123"/>
    </row>
    <row r="65" spans="2:5" ht="42.75" customHeight="1" x14ac:dyDescent="0.25">
      <c r="B65" s="37"/>
      <c r="C65" s="106" t="s">
        <v>274</v>
      </c>
      <c r="D65" s="15">
        <v>140</v>
      </c>
      <c r="E65" s="123"/>
    </row>
    <row r="66" spans="2:5" ht="42.75" customHeight="1" x14ac:dyDescent="0.25">
      <c r="B66" s="37"/>
      <c r="C66" s="19" t="s">
        <v>253</v>
      </c>
      <c r="D66" s="15">
        <v>50</v>
      </c>
      <c r="E66" s="123"/>
    </row>
    <row r="67" spans="2:5" ht="42.75" customHeight="1" x14ac:dyDescent="0.25">
      <c r="B67" s="37"/>
      <c r="C67" s="19" t="s">
        <v>169</v>
      </c>
      <c r="D67" s="15">
        <v>50</v>
      </c>
      <c r="E67" s="124"/>
    </row>
    <row r="68" spans="2:5" ht="42.75" customHeight="1" x14ac:dyDescent="0.25">
      <c r="B68" s="37" t="s">
        <v>297</v>
      </c>
      <c r="C68" s="17" t="s">
        <v>110</v>
      </c>
      <c r="D68" s="15">
        <v>90</v>
      </c>
      <c r="E68" s="128">
        <v>1183.27</v>
      </c>
    </row>
    <row r="69" spans="2:5" ht="42.75" customHeight="1" x14ac:dyDescent="0.25">
      <c r="B69" s="37"/>
      <c r="C69" s="17" t="s">
        <v>156</v>
      </c>
      <c r="D69" s="15">
        <v>200</v>
      </c>
      <c r="E69" s="123"/>
    </row>
    <row r="70" spans="2:5" ht="42.75" customHeight="1" x14ac:dyDescent="0.5">
      <c r="B70" s="37"/>
      <c r="C70" s="92" t="s">
        <v>251</v>
      </c>
      <c r="D70" s="15">
        <v>80</v>
      </c>
      <c r="E70" s="123"/>
    </row>
    <row r="71" spans="2:5" ht="42.75" customHeight="1" x14ac:dyDescent="0.25">
      <c r="B71" s="37"/>
      <c r="C71" s="19" t="s">
        <v>20</v>
      </c>
      <c r="D71" s="15">
        <v>200.27</v>
      </c>
      <c r="E71" s="123"/>
    </row>
    <row r="72" spans="2:5" ht="54.75" customHeight="1" x14ac:dyDescent="0.25">
      <c r="B72" s="37"/>
      <c r="C72" s="95" t="s">
        <v>254</v>
      </c>
      <c r="D72" s="15">
        <v>20</v>
      </c>
      <c r="E72" s="123"/>
    </row>
    <row r="73" spans="2:5" ht="42.75" customHeight="1" x14ac:dyDescent="0.25">
      <c r="B73" s="37"/>
      <c r="C73" s="106" t="s">
        <v>274</v>
      </c>
      <c r="D73" s="15">
        <v>250</v>
      </c>
      <c r="E73" s="123"/>
    </row>
    <row r="74" spans="2:5" ht="42.75" customHeight="1" x14ac:dyDescent="0.25">
      <c r="B74" s="37"/>
      <c r="C74" s="19" t="s">
        <v>253</v>
      </c>
      <c r="D74" s="15">
        <v>180</v>
      </c>
      <c r="E74" s="123"/>
    </row>
    <row r="75" spans="2:5" ht="42.75" customHeight="1" x14ac:dyDescent="0.25">
      <c r="B75" s="37"/>
      <c r="C75" s="19" t="s">
        <v>169</v>
      </c>
      <c r="D75" s="15">
        <v>100</v>
      </c>
      <c r="E75" s="123"/>
    </row>
    <row r="76" spans="2:5" ht="42.75" customHeight="1" x14ac:dyDescent="0.25">
      <c r="B76" s="37"/>
      <c r="C76" s="17" t="s">
        <v>190</v>
      </c>
      <c r="D76" s="15">
        <v>63</v>
      </c>
      <c r="E76" s="124"/>
    </row>
    <row r="77" spans="2:5" ht="42.75" customHeight="1" x14ac:dyDescent="0.25">
      <c r="B77" s="37" t="s">
        <v>298</v>
      </c>
      <c r="C77" s="17" t="s">
        <v>110</v>
      </c>
      <c r="D77" s="15">
        <v>100</v>
      </c>
      <c r="E77" s="128">
        <v>928</v>
      </c>
    </row>
    <row r="78" spans="2:5" ht="42.75" customHeight="1" x14ac:dyDescent="0.25">
      <c r="B78" s="37"/>
      <c r="C78" s="19" t="s">
        <v>20</v>
      </c>
      <c r="D78" s="15">
        <v>370</v>
      </c>
      <c r="E78" s="123"/>
    </row>
    <row r="79" spans="2:5" ht="55.5" customHeight="1" x14ac:dyDescent="0.25">
      <c r="B79" s="37"/>
      <c r="C79" s="95" t="s">
        <v>254</v>
      </c>
      <c r="D79" s="15">
        <v>20</v>
      </c>
      <c r="E79" s="123"/>
    </row>
    <row r="80" spans="2:5" ht="42.75" customHeight="1" x14ac:dyDescent="0.5">
      <c r="B80" s="37"/>
      <c r="C80" s="92" t="s">
        <v>251</v>
      </c>
      <c r="D80" s="15">
        <v>98</v>
      </c>
      <c r="E80" s="123"/>
    </row>
    <row r="81" spans="2:6" ht="42.75" customHeight="1" x14ac:dyDescent="0.25">
      <c r="B81" s="37"/>
      <c r="C81" s="94" t="s">
        <v>26</v>
      </c>
      <c r="D81" s="15">
        <v>140</v>
      </c>
      <c r="E81" s="123"/>
    </row>
    <row r="82" spans="2:6" ht="42.75" customHeight="1" x14ac:dyDescent="0.25">
      <c r="B82" s="37"/>
      <c r="C82" s="106" t="s">
        <v>274</v>
      </c>
      <c r="D82" s="15">
        <v>50</v>
      </c>
      <c r="E82" s="123"/>
    </row>
    <row r="83" spans="2:6" ht="42.75" customHeight="1" x14ac:dyDescent="0.25">
      <c r="B83" s="37"/>
      <c r="C83" s="19" t="s">
        <v>253</v>
      </c>
      <c r="D83" s="15">
        <v>50</v>
      </c>
      <c r="E83" s="123"/>
    </row>
    <row r="84" spans="2:6" ht="42.75" customHeight="1" x14ac:dyDescent="0.25">
      <c r="B84" s="37"/>
      <c r="C84" s="19" t="s">
        <v>169</v>
      </c>
      <c r="D84" s="15">
        <v>100</v>
      </c>
      <c r="E84" s="124"/>
    </row>
    <row r="85" spans="2:6" ht="42.75" customHeight="1" x14ac:dyDescent="0.25">
      <c r="B85" s="37" t="s">
        <v>299</v>
      </c>
      <c r="C85" s="17" t="s">
        <v>300</v>
      </c>
      <c r="D85" s="15">
        <v>150</v>
      </c>
      <c r="E85" s="128">
        <v>440</v>
      </c>
    </row>
    <row r="86" spans="2:6" ht="42.75" customHeight="1" x14ac:dyDescent="0.5">
      <c r="B86" s="37"/>
      <c r="C86" s="92" t="s">
        <v>251</v>
      </c>
      <c r="D86" s="15">
        <v>70</v>
      </c>
      <c r="E86" s="123"/>
    </row>
    <row r="87" spans="2:6" ht="42.75" customHeight="1" x14ac:dyDescent="0.25">
      <c r="B87" s="37"/>
      <c r="C87" s="106" t="s">
        <v>274</v>
      </c>
      <c r="D87" s="15">
        <v>130</v>
      </c>
      <c r="E87" s="123"/>
    </row>
    <row r="88" spans="2:6" ht="42.75" customHeight="1" x14ac:dyDescent="0.25">
      <c r="B88" s="37"/>
      <c r="C88" s="19" t="s">
        <v>253</v>
      </c>
      <c r="D88" s="15">
        <v>90</v>
      </c>
      <c r="E88" s="124"/>
    </row>
    <row r="89" spans="2:6" ht="42.75" customHeight="1" x14ac:dyDescent="0.25">
      <c r="B89" s="37" t="s">
        <v>301</v>
      </c>
      <c r="C89" s="19" t="s">
        <v>20</v>
      </c>
      <c r="D89" s="15">
        <v>350</v>
      </c>
      <c r="E89" s="128">
        <v>830</v>
      </c>
    </row>
    <row r="90" spans="2:6" ht="69.75" customHeight="1" x14ac:dyDescent="0.25">
      <c r="B90" s="37"/>
      <c r="C90" s="95" t="s">
        <v>254</v>
      </c>
      <c r="D90" s="15">
        <v>20</v>
      </c>
      <c r="E90" s="123"/>
    </row>
    <row r="91" spans="2:6" ht="42.75" customHeight="1" x14ac:dyDescent="0.5">
      <c r="B91" s="37"/>
      <c r="C91" s="92" t="s">
        <v>251</v>
      </c>
      <c r="D91" s="15">
        <v>70</v>
      </c>
      <c r="E91" s="123"/>
    </row>
    <row r="92" spans="2:6" ht="42.75" customHeight="1" x14ac:dyDescent="0.25">
      <c r="B92" s="37"/>
      <c r="C92" s="94" t="s">
        <v>26</v>
      </c>
      <c r="D92" s="15">
        <v>80</v>
      </c>
      <c r="E92" s="123"/>
    </row>
    <row r="93" spans="2:6" ht="42.75" customHeight="1" x14ac:dyDescent="0.25">
      <c r="B93" s="37"/>
      <c r="C93" s="106" t="s">
        <v>274</v>
      </c>
      <c r="D93" s="15">
        <v>120</v>
      </c>
      <c r="E93" s="123"/>
    </row>
    <row r="94" spans="2:6" ht="42.75" customHeight="1" x14ac:dyDescent="0.25">
      <c r="B94" s="37"/>
      <c r="C94" s="19" t="s">
        <v>253</v>
      </c>
      <c r="D94" s="15">
        <v>90</v>
      </c>
      <c r="E94" s="123"/>
    </row>
    <row r="95" spans="2:6" ht="42.75" customHeight="1" x14ac:dyDescent="0.25">
      <c r="B95" s="37"/>
      <c r="C95" s="19" t="s">
        <v>169</v>
      </c>
      <c r="D95" s="15">
        <v>100</v>
      </c>
      <c r="E95" s="124"/>
      <c r="F95">
        <v>8460.19</v>
      </c>
    </row>
    <row r="96" spans="2:6" ht="42.75" customHeight="1" x14ac:dyDescent="0.25">
      <c r="B96" s="37" t="s">
        <v>302</v>
      </c>
      <c r="C96" s="17" t="s">
        <v>300</v>
      </c>
      <c r="D96" s="15">
        <v>120</v>
      </c>
      <c r="E96" s="128">
        <v>500</v>
      </c>
    </row>
    <row r="97" spans="2:5" ht="42.75" customHeight="1" x14ac:dyDescent="0.5">
      <c r="B97" s="37"/>
      <c r="C97" s="92" t="s">
        <v>251</v>
      </c>
      <c r="D97" s="15">
        <v>70</v>
      </c>
      <c r="E97" s="123"/>
    </row>
    <row r="98" spans="2:5" ht="42.75" customHeight="1" x14ac:dyDescent="0.25">
      <c r="B98" s="37"/>
      <c r="C98" s="93" t="s">
        <v>252</v>
      </c>
      <c r="D98" s="15">
        <v>70</v>
      </c>
      <c r="E98" s="123"/>
    </row>
    <row r="99" spans="2:5" ht="42.75" customHeight="1" x14ac:dyDescent="0.25">
      <c r="B99" s="37"/>
      <c r="C99" s="94" t="s">
        <v>26</v>
      </c>
      <c r="D99" s="15">
        <v>110</v>
      </c>
      <c r="E99" s="123"/>
    </row>
    <row r="100" spans="2:5" ht="42.75" customHeight="1" x14ac:dyDescent="0.25">
      <c r="B100" s="37"/>
      <c r="C100" s="106" t="s">
        <v>274</v>
      </c>
      <c r="D100" s="15">
        <v>130</v>
      </c>
      <c r="E100" s="124"/>
    </row>
    <row r="101" spans="2:5" ht="42.75" customHeight="1" x14ac:dyDescent="0.25">
      <c r="B101" s="37" t="s">
        <v>303</v>
      </c>
      <c r="C101" s="17" t="s">
        <v>300</v>
      </c>
      <c r="D101" s="15">
        <v>80</v>
      </c>
      <c r="E101" s="128">
        <v>675</v>
      </c>
    </row>
    <row r="102" spans="2:5" ht="42.75" customHeight="1" x14ac:dyDescent="0.5">
      <c r="B102" s="37"/>
      <c r="C102" s="92" t="s">
        <v>251</v>
      </c>
      <c r="D102" s="15">
        <v>70</v>
      </c>
      <c r="E102" s="123"/>
    </row>
    <row r="103" spans="2:5" ht="42.75" customHeight="1" x14ac:dyDescent="0.25">
      <c r="B103" s="37"/>
      <c r="C103" s="93" t="s">
        <v>252</v>
      </c>
      <c r="D103" s="15">
        <v>50</v>
      </c>
      <c r="E103" s="123"/>
    </row>
    <row r="104" spans="2:5" ht="42.75" customHeight="1" x14ac:dyDescent="0.25">
      <c r="B104" s="37"/>
      <c r="C104" s="19" t="s">
        <v>20</v>
      </c>
      <c r="D104" s="15">
        <v>150</v>
      </c>
      <c r="E104" s="123"/>
    </row>
    <row r="105" spans="2:5" ht="51" customHeight="1" x14ac:dyDescent="0.25">
      <c r="B105" s="37"/>
      <c r="C105" s="95" t="s">
        <v>254</v>
      </c>
      <c r="D105" s="15">
        <v>20</v>
      </c>
      <c r="E105" s="123"/>
    </row>
    <row r="106" spans="2:5" ht="42.75" customHeight="1" x14ac:dyDescent="0.25">
      <c r="B106" s="37"/>
      <c r="C106" s="94" t="s">
        <v>26</v>
      </c>
      <c r="D106" s="15">
        <v>80</v>
      </c>
      <c r="E106" s="123"/>
    </row>
    <row r="107" spans="2:5" ht="42.75" customHeight="1" x14ac:dyDescent="0.25">
      <c r="B107" s="37"/>
      <c r="C107" s="106" t="s">
        <v>274</v>
      </c>
      <c r="D107" s="15">
        <v>100</v>
      </c>
      <c r="E107" s="123"/>
    </row>
    <row r="108" spans="2:5" ht="42.75" customHeight="1" x14ac:dyDescent="0.25">
      <c r="B108" s="37"/>
      <c r="C108" s="19" t="s">
        <v>253</v>
      </c>
      <c r="D108" s="15">
        <v>25</v>
      </c>
      <c r="E108" s="123"/>
    </row>
    <row r="109" spans="2:5" ht="42.75" customHeight="1" x14ac:dyDescent="0.25">
      <c r="B109" s="37"/>
      <c r="C109" s="19" t="s">
        <v>169</v>
      </c>
      <c r="D109" s="15">
        <v>100</v>
      </c>
      <c r="E109" s="124"/>
    </row>
    <row r="110" spans="2:5" ht="42.75" customHeight="1" x14ac:dyDescent="0.25">
      <c r="B110" s="37" t="s">
        <v>304</v>
      </c>
      <c r="C110" s="17" t="s">
        <v>300</v>
      </c>
      <c r="D110" s="15">
        <v>100</v>
      </c>
      <c r="E110" s="128">
        <v>660</v>
      </c>
    </row>
    <row r="111" spans="2:5" ht="42.75" customHeight="1" x14ac:dyDescent="0.25">
      <c r="B111" s="37"/>
      <c r="C111" s="17" t="s">
        <v>165</v>
      </c>
      <c r="D111" s="15">
        <v>30</v>
      </c>
      <c r="E111" s="123"/>
    </row>
    <row r="112" spans="2:5" ht="42.75" customHeight="1" x14ac:dyDescent="0.25">
      <c r="B112" s="37"/>
      <c r="C112" s="19" t="s">
        <v>20</v>
      </c>
      <c r="D112" s="15">
        <v>300</v>
      </c>
      <c r="E112" s="123"/>
    </row>
    <row r="113" spans="2:5" ht="42.75" customHeight="1" x14ac:dyDescent="0.5">
      <c r="B113" s="37"/>
      <c r="C113" s="92" t="s">
        <v>251</v>
      </c>
      <c r="D113" s="15">
        <v>30</v>
      </c>
      <c r="E113" s="123"/>
    </row>
    <row r="114" spans="2:5" ht="42.75" customHeight="1" x14ac:dyDescent="0.25">
      <c r="B114" s="37"/>
      <c r="C114" s="93" t="s">
        <v>252</v>
      </c>
      <c r="D114" s="15">
        <v>70</v>
      </c>
      <c r="E114" s="123"/>
    </row>
    <row r="115" spans="2:5" ht="42.75" customHeight="1" x14ac:dyDescent="0.25">
      <c r="B115" s="37"/>
      <c r="C115" s="94" t="s">
        <v>26</v>
      </c>
      <c r="D115" s="15">
        <v>50</v>
      </c>
      <c r="E115" s="123"/>
    </row>
    <row r="116" spans="2:5" ht="42.75" customHeight="1" x14ac:dyDescent="0.25">
      <c r="B116" s="37"/>
      <c r="C116" s="19" t="s">
        <v>169</v>
      </c>
      <c r="D116" s="15">
        <v>80</v>
      </c>
      <c r="E116" s="124"/>
    </row>
    <row r="117" spans="2:5" ht="42.75" customHeight="1" x14ac:dyDescent="0.25">
      <c r="B117" s="37" t="s">
        <v>305</v>
      </c>
      <c r="C117" s="17" t="s">
        <v>300</v>
      </c>
      <c r="D117" s="15">
        <v>90</v>
      </c>
      <c r="E117" s="128">
        <v>570</v>
      </c>
    </row>
    <row r="118" spans="2:5" ht="42.75" customHeight="1" x14ac:dyDescent="0.25">
      <c r="B118" s="37"/>
      <c r="C118" s="17" t="s">
        <v>165</v>
      </c>
      <c r="D118" s="15">
        <v>60</v>
      </c>
      <c r="E118" s="123"/>
    </row>
    <row r="119" spans="2:5" ht="42.75" customHeight="1" x14ac:dyDescent="0.25">
      <c r="B119" s="37"/>
      <c r="C119" s="19" t="s">
        <v>20</v>
      </c>
      <c r="D119" s="15">
        <v>180</v>
      </c>
      <c r="E119" s="123"/>
    </row>
    <row r="120" spans="2:5" ht="42.75" customHeight="1" x14ac:dyDescent="0.25">
      <c r="B120" s="37"/>
      <c r="C120" s="95" t="s">
        <v>254</v>
      </c>
      <c r="D120" s="15">
        <v>20</v>
      </c>
      <c r="E120" s="123"/>
    </row>
    <row r="121" spans="2:5" ht="42.75" customHeight="1" x14ac:dyDescent="0.5">
      <c r="B121" s="37"/>
      <c r="C121" s="92" t="s">
        <v>251</v>
      </c>
      <c r="D121" s="15">
        <v>40</v>
      </c>
      <c r="E121" s="123"/>
    </row>
    <row r="122" spans="2:5" ht="42.75" customHeight="1" x14ac:dyDescent="0.25">
      <c r="B122" s="37"/>
      <c r="C122" s="106" t="s">
        <v>274</v>
      </c>
      <c r="D122" s="15">
        <v>100</v>
      </c>
      <c r="E122" s="123"/>
    </row>
    <row r="123" spans="2:5" ht="42.75" customHeight="1" x14ac:dyDescent="0.25">
      <c r="B123" s="37"/>
      <c r="C123" s="19" t="s">
        <v>169</v>
      </c>
      <c r="D123" s="15">
        <v>80</v>
      </c>
      <c r="E123" s="124"/>
    </row>
    <row r="124" spans="2:5" ht="42.75" customHeight="1" x14ac:dyDescent="0.25">
      <c r="B124" s="37" t="s">
        <v>306</v>
      </c>
      <c r="C124" s="17" t="s">
        <v>300</v>
      </c>
      <c r="D124" s="15">
        <v>120</v>
      </c>
      <c r="E124" s="128">
        <v>865</v>
      </c>
    </row>
    <row r="125" spans="2:5" ht="42.75" customHeight="1" x14ac:dyDescent="0.25">
      <c r="B125" s="37"/>
      <c r="C125" s="17" t="s">
        <v>165</v>
      </c>
      <c r="D125" s="15">
        <v>60</v>
      </c>
      <c r="E125" s="123"/>
    </row>
    <row r="126" spans="2:5" ht="42.75" customHeight="1" x14ac:dyDescent="0.25">
      <c r="B126" s="37"/>
      <c r="C126" s="19" t="s">
        <v>20</v>
      </c>
      <c r="D126" s="15">
        <v>300</v>
      </c>
      <c r="E126" s="123"/>
    </row>
    <row r="127" spans="2:5" ht="57.75" customHeight="1" x14ac:dyDescent="0.25">
      <c r="B127" s="37"/>
      <c r="C127" s="95" t="s">
        <v>254</v>
      </c>
      <c r="D127" s="15">
        <v>10</v>
      </c>
      <c r="E127" s="123"/>
    </row>
    <row r="128" spans="2:5" ht="42.75" customHeight="1" x14ac:dyDescent="0.5">
      <c r="B128" s="37"/>
      <c r="C128" s="92" t="s">
        <v>251</v>
      </c>
      <c r="D128" s="15">
        <v>60</v>
      </c>
      <c r="E128" s="123"/>
    </row>
    <row r="129" spans="2:5" ht="42.75" customHeight="1" x14ac:dyDescent="0.25">
      <c r="B129" s="37"/>
      <c r="C129" s="106" t="s">
        <v>274</v>
      </c>
      <c r="D129" s="15">
        <v>140</v>
      </c>
      <c r="E129" s="123"/>
    </row>
    <row r="130" spans="2:5" ht="42.75" customHeight="1" x14ac:dyDescent="0.25">
      <c r="B130" s="37"/>
      <c r="C130" s="19" t="s">
        <v>169</v>
      </c>
      <c r="D130" s="15">
        <v>80</v>
      </c>
      <c r="E130" s="123"/>
    </row>
    <row r="131" spans="2:5" ht="42.75" customHeight="1" x14ac:dyDescent="0.25">
      <c r="B131" s="37"/>
      <c r="C131" s="19" t="s">
        <v>253</v>
      </c>
      <c r="D131" s="15">
        <v>90</v>
      </c>
      <c r="E131" s="123"/>
    </row>
    <row r="132" spans="2:5" ht="42.75" customHeight="1" x14ac:dyDescent="0.25">
      <c r="B132" s="37"/>
      <c r="C132" s="94" t="s">
        <v>26</v>
      </c>
      <c r="D132" s="15">
        <v>5</v>
      </c>
      <c r="E132" s="124"/>
    </row>
    <row r="133" spans="2:5" ht="42.75" customHeight="1" x14ac:dyDescent="0.25">
      <c r="B133" s="37" t="s">
        <v>307</v>
      </c>
      <c r="C133" s="17" t="s">
        <v>300</v>
      </c>
      <c r="D133" s="15">
        <v>150</v>
      </c>
      <c r="E133" s="128">
        <v>850</v>
      </c>
    </row>
    <row r="134" spans="2:5" ht="42.75" customHeight="1" x14ac:dyDescent="0.25">
      <c r="B134" s="37"/>
      <c r="C134" s="17" t="s">
        <v>165</v>
      </c>
      <c r="D134" s="15">
        <v>100</v>
      </c>
      <c r="E134" s="123"/>
    </row>
    <row r="135" spans="2:5" ht="42.75" customHeight="1" x14ac:dyDescent="0.25">
      <c r="B135" s="37"/>
      <c r="C135" s="19" t="s">
        <v>20</v>
      </c>
      <c r="D135" s="15">
        <v>250</v>
      </c>
      <c r="E135" s="123"/>
    </row>
    <row r="136" spans="2:5" ht="55.5" customHeight="1" x14ac:dyDescent="0.25">
      <c r="B136" s="37"/>
      <c r="C136" s="95" t="s">
        <v>254</v>
      </c>
      <c r="D136" s="15">
        <v>20</v>
      </c>
      <c r="E136" s="123"/>
    </row>
    <row r="137" spans="2:5" ht="42.75" customHeight="1" x14ac:dyDescent="0.5">
      <c r="B137" s="37"/>
      <c r="C137" s="92" t="s">
        <v>251</v>
      </c>
      <c r="D137" s="15">
        <v>40</v>
      </c>
      <c r="E137" s="123"/>
    </row>
    <row r="138" spans="2:5" ht="42.75" customHeight="1" x14ac:dyDescent="0.25">
      <c r="B138" s="37"/>
      <c r="C138" s="93" t="s">
        <v>252</v>
      </c>
      <c r="D138" s="15">
        <v>70</v>
      </c>
      <c r="E138" s="123"/>
    </row>
    <row r="139" spans="2:5" ht="42.75" customHeight="1" x14ac:dyDescent="0.25">
      <c r="B139" s="37"/>
      <c r="C139" s="106" t="s">
        <v>274</v>
      </c>
      <c r="D139" s="15">
        <v>140</v>
      </c>
      <c r="E139" s="123"/>
    </row>
    <row r="140" spans="2:5" ht="42.75" customHeight="1" x14ac:dyDescent="0.25">
      <c r="B140" s="37"/>
      <c r="C140" s="19" t="s">
        <v>169</v>
      </c>
      <c r="D140" s="15">
        <v>80</v>
      </c>
      <c r="E140" s="124"/>
    </row>
    <row r="141" spans="2:5" ht="42.75" customHeight="1" x14ac:dyDescent="0.5">
      <c r="B141" s="37" t="s">
        <v>308</v>
      </c>
      <c r="C141" s="92" t="s">
        <v>251</v>
      </c>
      <c r="D141" s="15">
        <v>70</v>
      </c>
      <c r="E141" s="128">
        <v>320</v>
      </c>
    </row>
    <row r="142" spans="2:5" ht="42.75" customHeight="1" x14ac:dyDescent="0.25">
      <c r="B142" s="37"/>
      <c r="C142" s="93" t="s">
        <v>252</v>
      </c>
      <c r="D142" s="15">
        <v>70</v>
      </c>
      <c r="E142" s="123"/>
    </row>
    <row r="143" spans="2:5" ht="42.75" customHeight="1" x14ac:dyDescent="0.25">
      <c r="B143" s="37"/>
      <c r="C143" s="106" t="s">
        <v>274</v>
      </c>
      <c r="D143" s="15">
        <v>80</v>
      </c>
      <c r="E143" s="123"/>
    </row>
    <row r="144" spans="2:5" ht="42.75" customHeight="1" x14ac:dyDescent="0.25">
      <c r="B144" s="37"/>
      <c r="C144" s="94" t="s">
        <v>26</v>
      </c>
      <c r="D144" s="15">
        <v>50</v>
      </c>
      <c r="E144" s="123"/>
    </row>
    <row r="145" spans="2:6" ht="42.75" customHeight="1" x14ac:dyDescent="0.25">
      <c r="B145" s="37"/>
      <c r="C145" s="19" t="s">
        <v>169</v>
      </c>
      <c r="D145" s="15">
        <v>50</v>
      </c>
      <c r="E145" s="124"/>
      <c r="F145">
        <v>12900.19</v>
      </c>
    </row>
    <row r="146" spans="2:6" ht="42.75" customHeight="1" x14ac:dyDescent="0.25">
      <c r="B146" s="37" t="s">
        <v>309</v>
      </c>
      <c r="C146" s="17" t="s">
        <v>300</v>
      </c>
      <c r="D146" s="15">
        <v>100</v>
      </c>
      <c r="E146" s="128">
        <v>440</v>
      </c>
    </row>
    <row r="147" spans="2:6" ht="42.75" customHeight="1" x14ac:dyDescent="0.25">
      <c r="B147" s="37"/>
      <c r="C147" s="95" t="s">
        <v>254</v>
      </c>
      <c r="D147" s="15">
        <v>20</v>
      </c>
      <c r="E147" s="123"/>
    </row>
    <row r="148" spans="2:6" ht="42.75" customHeight="1" x14ac:dyDescent="0.5">
      <c r="B148" s="37"/>
      <c r="C148" s="92" t="s">
        <v>251</v>
      </c>
      <c r="D148" s="15">
        <v>60</v>
      </c>
      <c r="E148" s="123"/>
    </row>
    <row r="149" spans="2:6" ht="42.75" customHeight="1" x14ac:dyDescent="0.25">
      <c r="B149" s="37"/>
      <c r="C149" s="93" t="s">
        <v>252</v>
      </c>
      <c r="D149" s="15">
        <v>70</v>
      </c>
      <c r="E149" s="123"/>
    </row>
    <row r="150" spans="2:6" ht="42.75" customHeight="1" x14ac:dyDescent="0.25">
      <c r="B150" s="37"/>
      <c r="C150" s="106" t="s">
        <v>274</v>
      </c>
      <c r="D150" s="15">
        <v>140</v>
      </c>
      <c r="E150" s="123"/>
    </row>
    <row r="151" spans="2:6" ht="42.75" customHeight="1" x14ac:dyDescent="0.25">
      <c r="B151" s="37"/>
      <c r="C151" s="19" t="s">
        <v>169</v>
      </c>
      <c r="D151" s="15">
        <v>50</v>
      </c>
      <c r="E151" s="124"/>
    </row>
    <row r="152" spans="2:6" ht="42.75" customHeight="1" x14ac:dyDescent="0.25">
      <c r="B152" s="37" t="s">
        <v>312</v>
      </c>
      <c r="C152" s="106" t="s">
        <v>274</v>
      </c>
      <c r="D152" s="15">
        <v>100</v>
      </c>
      <c r="E152" s="128">
        <v>170</v>
      </c>
    </row>
    <row r="153" spans="2:6" ht="42.75" customHeight="1" x14ac:dyDescent="0.25">
      <c r="B153" s="37"/>
      <c r="C153" s="94" t="s">
        <v>26</v>
      </c>
      <c r="D153" s="15">
        <v>70</v>
      </c>
      <c r="E153" s="124"/>
    </row>
    <row r="154" spans="2:6" ht="42.75" customHeight="1" x14ac:dyDescent="0.5">
      <c r="B154" s="37" t="s">
        <v>311</v>
      </c>
      <c r="C154" s="92" t="s">
        <v>251</v>
      </c>
      <c r="D154" s="15">
        <v>30</v>
      </c>
      <c r="E154" s="128">
        <v>130</v>
      </c>
    </row>
    <row r="155" spans="2:6" ht="42.75" customHeight="1" x14ac:dyDescent="0.25">
      <c r="B155" s="37"/>
      <c r="C155" s="17" t="s">
        <v>300</v>
      </c>
      <c r="D155" s="15">
        <v>100</v>
      </c>
      <c r="E155" s="124"/>
    </row>
    <row r="156" spans="2:6" ht="42.75" customHeight="1" x14ac:dyDescent="0.5">
      <c r="B156" s="37" t="s">
        <v>313</v>
      </c>
      <c r="C156" s="92" t="s">
        <v>251</v>
      </c>
      <c r="D156" s="15">
        <v>60</v>
      </c>
      <c r="E156" s="128">
        <v>588.69000000000005</v>
      </c>
    </row>
    <row r="157" spans="2:6" ht="36" x14ac:dyDescent="0.5">
      <c r="B157" s="13"/>
      <c r="C157" s="17" t="s">
        <v>300</v>
      </c>
      <c r="D157" s="60">
        <v>100</v>
      </c>
      <c r="E157" s="123"/>
    </row>
    <row r="158" spans="2:6" ht="33.75" x14ac:dyDescent="0.5">
      <c r="B158" s="13"/>
      <c r="C158" s="93" t="s">
        <v>252</v>
      </c>
      <c r="D158" s="60">
        <v>30</v>
      </c>
      <c r="E158" s="123"/>
    </row>
    <row r="159" spans="2:6" ht="62.25" x14ac:dyDescent="0.25">
      <c r="B159" s="13"/>
      <c r="C159" s="95" t="s">
        <v>254</v>
      </c>
      <c r="D159" s="18">
        <v>15</v>
      </c>
      <c r="E159" s="123"/>
    </row>
    <row r="160" spans="2:6" ht="36" x14ac:dyDescent="0.5">
      <c r="B160" s="13"/>
      <c r="C160" s="106" t="s">
        <v>274</v>
      </c>
      <c r="D160" s="60">
        <v>100</v>
      </c>
      <c r="E160" s="123"/>
    </row>
    <row r="161" spans="2:5" ht="33.75" x14ac:dyDescent="0.5">
      <c r="B161" s="13"/>
      <c r="C161" s="94" t="s">
        <v>26</v>
      </c>
      <c r="D161" s="60">
        <v>70</v>
      </c>
      <c r="E161" s="123"/>
    </row>
    <row r="162" spans="2:5" ht="33.75" x14ac:dyDescent="0.5">
      <c r="B162" s="13"/>
      <c r="C162" s="93" t="s">
        <v>314</v>
      </c>
      <c r="D162" s="65">
        <v>213.69</v>
      </c>
      <c r="E162" s="124"/>
    </row>
    <row r="163" spans="2:5" ht="33.75" x14ac:dyDescent="0.5">
      <c r="B163" s="37" t="s">
        <v>315</v>
      </c>
      <c r="C163" s="92" t="s">
        <v>251</v>
      </c>
      <c r="D163" s="60">
        <v>70</v>
      </c>
      <c r="E163" s="128">
        <v>230</v>
      </c>
    </row>
    <row r="164" spans="2:5" ht="62.25" x14ac:dyDescent="0.25">
      <c r="B164" s="13"/>
      <c r="C164" s="95" t="s">
        <v>254</v>
      </c>
      <c r="D164" s="18">
        <v>10</v>
      </c>
      <c r="E164" s="123"/>
    </row>
    <row r="165" spans="2:5" ht="36" x14ac:dyDescent="0.5">
      <c r="B165" s="13"/>
      <c r="C165" s="106" t="s">
        <v>274</v>
      </c>
      <c r="D165" s="60">
        <v>80</v>
      </c>
      <c r="E165" s="123"/>
    </row>
    <row r="166" spans="2:5" ht="33.75" x14ac:dyDescent="0.5">
      <c r="B166" s="13"/>
      <c r="C166" s="94" t="s">
        <v>26</v>
      </c>
      <c r="D166" s="60">
        <v>70</v>
      </c>
      <c r="E166" s="124"/>
    </row>
    <row r="167" spans="2:5" ht="33.75" x14ac:dyDescent="0.5">
      <c r="B167" s="37" t="s">
        <v>316</v>
      </c>
      <c r="C167" s="92" t="s">
        <v>251</v>
      </c>
      <c r="D167" s="60">
        <v>40</v>
      </c>
      <c r="E167" s="128">
        <v>350</v>
      </c>
    </row>
    <row r="168" spans="2:5" ht="36" x14ac:dyDescent="0.5">
      <c r="B168" s="13"/>
      <c r="C168" s="17" t="s">
        <v>300</v>
      </c>
      <c r="D168" s="60">
        <v>30</v>
      </c>
      <c r="E168" s="123"/>
    </row>
    <row r="169" spans="2:5" ht="36" x14ac:dyDescent="0.5">
      <c r="B169" s="13"/>
      <c r="C169" s="106" t="s">
        <v>274</v>
      </c>
      <c r="D169" s="60">
        <v>100</v>
      </c>
      <c r="E169" s="123"/>
    </row>
    <row r="170" spans="2:5" ht="35.25" x14ac:dyDescent="0.5">
      <c r="B170" s="13"/>
      <c r="C170" s="19" t="s">
        <v>169</v>
      </c>
      <c r="D170" s="60">
        <v>60</v>
      </c>
      <c r="E170" s="123"/>
    </row>
    <row r="171" spans="2:5" ht="33.75" x14ac:dyDescent="0.5">
      <c r="B171" s="13"/>
      <c r="C171" s="93" t="s">
        <v>317</v>
      </c>
      <c r="D171" s="60">
        <v>120</v>
      </c>
      <c r="E171" s="124"/>
    </row>
    <row r="172" spans="2:5" ht="63" thickBot="1" x14ac:dyDescent="0.3">
      <c r="B172" s="37" t="s">
        <v>318</v>
      </c>
      <c r="C172" s="95" t="s">
        <v>254</v>
      </c>
      <c r="D172" s="18">
        <v>20</v>
      </c>
      <c r="E172" s="102">
        <v>20</v>
      </c>
    </row>
    <row r="173" spans="2:5" x14ac:dyDescent="0.25">
      <c r="B173" s="170" t="s">
        <v>322</v>
      </c>
      <c r="C173" s="153"/>
      <c r="D173" s="153"/>
      <c r="E173" s="154"/>
    </row>
    <row r="174" spans="2:5" ht="279" customHeight="1" thickBot="1" x14ac:dyDescent="0.3">
      <c r="B174" s="155"/>
      <c r="C174" s="156"/>
      <c r="D174" s="156"/>
      <c r="E174" s="157"/>
    </row>
  </sheetData>
  <mergeCells count="28">
    <mergeCell ref="B173:E174"/>
    <mergeCell ref="E146:E151"/>
    <mergeCell ref="E133:E140"/>
    <mergeCell ref="E141:E145"/>
    <mergeCell ref="E163:E166"/>
    <mergeCell ref="E167:E171"/>
    <mergeCell ref="E156:E162"/>
    <mergeCell ref="E154:E155"/>
    <mergeCell ref="E152:E153"/>
    <mergeCell ref="E30:E37"/>
    <mergeCell ref="B4:E4"/>
    <mergeCell ref="E6:E9"/>
    <mergeCell ref="E10:E15"/>
    <mergeCell ref="E16:E21"/>
    <mergeCell ref="E22:E29"/>
    <mergeCell ref="E60:E67"/>
    <mergeCell ref="E54:E59"/>
    <mergeCell ref="E38:E46"/>
    <mergeCell ref="E47:E53"/>
    <mergeCell ref="E96:E100"/>
    <mergeCell ref="E85:E88"/>
    <mergeCell ref="E89:E95"/>
    <mergeCell ref="E77:E84"/>
    <mergeCell ref="E124:E132"/>
    <mergeCell ref="E68:E76"/>
    <mergeCell ref="E117:E123"/>
    <mergeCell ref="E110:E116"/>
    <mergeCell ref="E101:E109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594916-55A1-4E0B-83A5-D645A2EA4E40}">
  <dimension ref="B3:F9"/>
  <sheetViews>
    <sheetView workbookViewId="0">
      <selection activeCell="D8" sqref="D8"/>
    </sheetView>
  </sheetViews>
  <sheetFormatPr defaultRowHeight="15" x14ac:dyDescent="0.25"/>
  <cols>
    <col min="2" max="2" width="19.7109375" customWidth="1"/>
    <col min="3" max="3" width="30.7109375" customWidth="1"/>
    <col min="4" max="4" width="24" customWidth="1"/>
    <col min="5" max="5" width="19.28515625" customWidth="1"/>
    <col min="6" max="6" width="24.140625" customWidth="1"/>
  </cols>
  <sheetData>
    <row r="3" spans="2:6" ht="15.75" thickBot="1" x14ac:dyDescent="0.3"/>
    <row r="4" spans="2:6" ht="75" customHeight="1" x14ac:dyDescent="0.25">
      <c r="B4" s="177" t="s">
        <v>319</v>
      </c>
      <c r="C4" s="178"/>
      <c r="D4" s="178"/>
      <c r="E4" s="178"/>
      <c r="F4" s="179"/>
    </row>
    <row r="5" spans="2:6" ht="29.25" thickBot="1" x14ac:dyDescent="0.3">
      <c r="B5" s="83" t="s">
        <v>2</v>
      </c>
      <c r="C5" s="84" t="s">
        <v>3</v>
      </c>
      <c r="D5" s="85" t="s">
        <v>4</v>
      </c>
      <c r="E5" s="86" t="s">
        <v>5</v>
      </c>
      <c r="F5" s="87" t="s">
        <v>6</v>
      </c>
    </row>
    <row r="6" spans="2:6" ht="28.5" x14ac:dyDescent="0.45">
      <c r="B6" s="88">
        <v>1</v>
      </c>
      <c r="C6" s="61" t="s">
        <v>331</v>
      </c>
      <c r="D6" s="61">
        <v>1000</v>
      </c>
      <c r="E6" s="89">
        <v>92</v>
      </c>
      <c r="F6" s="90">
        <f>E6*D6</f>
        <v>92000</v>
      </c>
    </row>
    <row r="7" spans="2:6" ht="28.5" x14ac:dyDescent="0.45">
      <c r="B7" s="115"/>
      <c r="C7" s="61"/>
      <c r="D7" s="61"/>
      <c r="E7" s="89"/>
      <c r="F7" s="90"/>
    </row>
    <row r="8" spans="2:6" ht="31.5" x14ac:dyDescent="0.5">
      <c r="B8" s="180" t="s">
        <v>12</v>
      </c>
      <c r="C8" s="180"/>
      <c r="D8" s="11">
        <v>1000</v>
      </c>
      <c r="E8" s="120">
        <v>92</v>
      </c>
      <c r="F8" s="121">
        <v>92000</v>
      </c>
    </row>
    <row r="9" spans="2:6" ht="28.5" x14ac:dyDescent="0.45">
      <c r="B9" s="181" t="s">
        <v>13</v>
      </c>
      <c r="C9" s="182"/>
      <c r="D9" s="7"/>
      <c r="E9" s="89"/>
      <c r="F9" s="90"/>
    </row>
  </sheetData>
  <mergeCells count="3">
    <mergeCell ref="B4:F4"/>
    <mergeCell ref="B8:C8"/>
    <mergeCell ref="B9:C9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594235-4AF7-47F6-AA78-9F7847A28534}">
  <dimension ref="B3:F33"/>
  <sheetViews>
    <sheetView topLeftCell="A28" workbookViewId="0">
      <selection activeCell="C30" sqref="C30"/>
    </sheetView>
  </sheetViews>
  <sheetFormatPr defaultRowHeight="15" x14ac:dyDescent="0.25"/>
  <cols>
    <col min="2" max="2" width="30.5703125" customWidth="1"/>
    <col min="3" max="3" width="49.7109375" customWidth="1"/>
    <col min="4" max="4" width="30.140625" customWidth="1"/>
    <col min="5" max="5" width="29.140625" customWidth="1"/>
    <col min="6" max="6" width="18.28515625" customWidth="1"/>
    <col min="17" max="17" width="8.28515625" customWidth="1"/>
  </cols>
  <sheetData>
    <row r="3" spans="2:6" ht="15.75" thickBot="1" x14ac:dyDescent="0.3"/>
    <row r="4" spans="2:6" ht="90" customHeight="1" thickBot="1" x14ac:dyDescent="0.3">
      <c r="B4" s="125" t="s">
        <v>350</v>
      </c>
      <c r="C4" s="126"/>
      <c r="D4" s="126"/>
      <c r="E4" s="127"/>
    </row>
    <row r="5" spans="2:6" ht="30.75" x14ac:dyDescent="0.25">
      <c r="B5" s="14" t="s">
        <v>15</v>
      </c>
      <c r="C5" s="15" t="s">
        <v>16</v>
      </c>
      <c r="D5" s="15" t="s">
        <v>17</v>
      </c>
      <c r="E5" s="16" t="s">
        <v>18</v>
      </c>
    </row>
    <row r="6" spans="2:6" ht="36" x14ac:dyDescent="0.25">
      <c r="B6" s="62" t="s">
        <v>320</v>
      </c>
      <c r="C6" s="17" t="s">
        <v>156</v>
      </c>
      <c r="D6" s="15">
        <v>50</v>
      </c>
      <c r="E6" s="183">
        <v>609</v>
      </c>
    </row>
    <row r="7" spans="2:6" ht="71.25" x14ac:dyDescent="0.25">
      <c r="B7" s="37"/>
      <c r="C7" s="113" t="s">
        <v>321</v>
      </c>
      <c r="D7" s="15">
        <v>309</v>
      </c>
      <c r="E7" s="183"/>
    </row>
    <row r="8" spans="2:6" ht="40.5" customHeight="1" x14ac:dyDescent="0.25">
      <c r="B8" s="37"/>
      <c r="C8" s="19" t="s">
        <v>253</v>
      </c>
      <c r="D8" s="15">
        <v>120</v>
      </c>
      <c r="E8" s="183"/>
    </row>
    <row r="9" spans="2:6" ht="33.75" x14ac:dyDescent="0.35">
      <c r="B9" s="37"/>
      <c r="C9" s="94" t="s">
        <v>26</v>
      </c>
      <c r="D9" s="15">
        <v>130</v>
      </c>
      <c r="E9" s="183"/>
      <c r="F9" s="67">
        <v>941.01</v>
      </c>
    </row>
    <row r="10" spans="2:6" ht="33.75" x14ac:dyDescent="0.5">
      <c r="B10" s="37" t="s">
        <v>324</v>
      </c>
      <c r="C10" s="92" t="s">
        <v>325</v>
      </c>
      <c r="D10" s="15">
        <v>58.82</v>
      </c>
      <c r="E10" s="75">
        <v>58.82</v>
      </c>
      <c r="F10" s="103">
        <v>882.19</v>
      </c>
    </row>
    <row r="11" spans="2:6" ht="36" x14ac:dyDescent="0.25">
      <c r="B11" s="37" t="s">
        <v>326</v>
      </c>
      <c r="C11" s="17" t="s">
        <v>110</v>
      </c>
      <c r="D11" s="15">
        <v>25</v>
      </c>
      <c r="E11" s="128">
        <v>47</v>
      </c>
    </row>
    <row r="12" spans="2:6" ht="62.25" x14ac:dyDescent="0.25">
      <c r="B12" s="37"/>
      <c r="C12" s="95" t="s">
        <v>254</v>
      </c>
      <c r="D12" s="15">
        <v>20</v>
      </c>
      <c r="E12" s="123"/>
    </row>
    <row r="13" spans="2:6" ht="35.25" x14ac:dyDescent="0.35">
      <c r="B13" s="37"/>
      <c r="C13" s="17" t="s">
        <v>327</v>
      </c>
      <c r="D13" s="15">
        <v>2</v>
      </c>
      <c r="E13" s="124"/>
      <c r="F13" s="103">
        <v>835.19</v>
      </c>
    </row>
    <row r="14" spans="2:6" ht="33.75" x14ac:dyDescent="0.25">
      <c r="B14" s="37" t="s">
        <v>328</v>
      </c>
      <c r="C14" s="94" t="s">
        <v>26</v>
      </c>
      <c r="D14" s="15">
        <v>28</v>
      </c>
      <c r="E14" s="128">
        <v>835.22</v>
      </c>
    </row>
    <row r="15" spans="2:6" ht="35.25" x14ac:dyDescent="0.25">
      <c r="B15" s="37"/>
      <c r="C15" s="17" t="s">
        <v>325</v>
      </c>
      <c r="D15" s="15">
        <v>42.84</v>
      </c>
      <c r="E15" s="123"/>
    </row>
    <row r="16" spans="2:6" ht="62.25" x14ac:dyDescent="0.25">
      <c r="B16" s="37"/>
      <c r="C16" s="95" t="s">
        <v>254</v>
      </c>
      <c r="D16" s="15">
        <v>23.05</v>
      </c>
      <c r="E16" s="123"/>
    </row>
    <row r="17" spans="2:6" ht="35.25" x14ac:dyDescent="0.25">
      <c r="B17" s="37"/>
      <c r="C17" s="17" t="s">
        <v>329</v>
      </c>
      <c r="D17" s="15">
        <v>168</v>
      </c>
      <c r="E17" s="123"/>
    </row>
    <row r="18" spans="2:6" ht="33.75" x14ac:dyDescent="0.3">
      <c r="B18" s="37"/>
      <c r="C18" s="94" t="s">
        <v>330</v>
      </c>
      <c r="D18" s="15">
        <v>573.33000000000004</v>
      </c>
      <c r="E18" s="124"/>
      <c r="F18" s="107">
        <v>1550.04</v>
      </c>
    </row>
    <row r="19" spans="2:6" ht="62.25" x14ac:dyDescent="0.3">
      <c r="B19" s="37" t="s">
        <v>331</v>
      </c>
      <c r="C19" s="95" t="s">
        <v>254</v>
      </c>
      <c r="D19" s="15">
        <v>10</v>
      </c>
      <c r="E19" s="183">
        <v>110</v>
      </c>
      <c r="F19" s="107"/>
    </row>
    <row r="20" spans="2:6" ht="35.25" x14ac:dyDescent="0.3">
      <c r="B20" s="37"/>
      <c r="C20" s="19" t="s">
        <v>169</v>
      </c>
      <c r="D20" s="15">
        <v>50</v>
      </c>
      <c r="E20" s="183"/>
      <c r="F20" s="107"/>
    </row>
    <row r="21" spans="2:6" ht="35.25" x14ac:dyDescent="0.3">
      <c r="B21" s="37"/>
      <c r="C21" s="19" t="s">
        <v>253</v>
      </c>
      <c r="D21" s="15">
        <v>50</v>
      </c>
      <c r="E21" s="183"/>
      <c r="F21" s="107">
        <v>1022.03</v>
      </c>
    </row>
    <row r="22" spans="2:6" ht="36" x14ac:dyDescent="0.3">
      <c r="B22" s="37" t="s">
        <v>332</v>
      </c>
      <c r="C22" s="17" t="s">
        <v>110</v>
      </c>
      <c r="D22" s="15">
        <v>50</v>
      </c>
      <c r="E22" s="123">
        <v>150</v>
      </c>
      <c r="F22" s="107"/>
    </row>
    <row r="23" spans="2:6" ht="35.25" x14ac:dyDescent="0.3">
      <c r="B23" s="37"/>
      <c r="C23" s="19" t="s">
        <v>169</v>
      </c>
      <c r="D23" s="15">
        <v>100</v>
      </c>
      <c r="E23" s="124"/>
      <c r="F23" s="107"/>
    </row>
    <row r="24" spans="2:6" ht="62.25" x14ac:dyDescent="0.3">
      <c r="B24" s="37" t="s">
        <v>333</v>
      </c>
      <c r="C24" s="95" t="s">
        <v>254</v>
      </c>
      <c r="D24" s="15">
        <v>20</v>
      </c>
      <c r="E24" s="102">
        <v>20</v>
      </c>
      <c r="F24" s="107"/>
    </row>
    <row r="25" spans="2:6" ht="35.25" x14ac:dyDescent="0.3">
      <c r="B25" s="37" t="s">
        <v>341</v>
      </c>
      <c r="C25" s="19" t="s">
        <v>169</v>
      </c>
      <c r="D25" s="15">
        <v>100</v>
      </c>
      <c r="E25" s="102">
        <v>100</v>
      </c>
      <c r="F25" s="107"/>
    </row>
    <row r="26" spans="2:6" ht="35.25" x14ac:dyDescent="0.3">
      <c r="B26" s="37" t="s">
        <v>342</v>
      </c>
      <c r="C26" s="19" t="s">
        <v>169</v>
      </c>
      <c r="D26" s="15">
        <v>100</v>
      </c>
      <c r="E26" s="102">
        <v>100</v>
      </c>
      <c r="F26" s="107"/>
    </row>
    <row r="27" spans="2:6" ht="35.25" x14ac:dyDescent="0.45">
      <c r="B27" s="37" t="s">
        <v>343</v>
      </c>
      <c r="C27" s="19" t="s">
        <v>169</v>
      </c>
      <c r="D27" s="15">
        <v>100</v>
      </c>
      <c r="E27" s="102">
        <v>100</v>
      </c>
      <c r="F27" s="50">
        <v>2262.0700000000002</v>
      </c>
    </row>
    <row r="28" spans="2:6" ht="36" x14ac:dyDescent="0.3">
      <c r="B28" s="37" t="s">
        <v>344</v>
      </c>
      <c r="C28" s="17" t="s">
        <v>110</v>
      </c>
      <c r="D28" s="15">
        <v>100</v>
      </c>
      <c r="E28" s="102">
        <v>100</v>
      </c>
      <c r="F28" s="107"/>
    </row>
    <row r="29" spans="2:6" ht="35.25" x14ac:dyDescent="0.3">
      <c r="B29" s="37" t="s">
        <v>345</v>
      </c>
      <c r="C29" s="19" t="s">
        <v>169</v>
      </c>
      <c r="D29" s="15">
        <v>100</v>
      </c>
      <c r="E29" s="102">
        <v>100</v>
      </c>
      <c r="F29" s="107"/>
    </row>
    <row r="30" spans="2:6" ht="33.75" x14ac:dyDescent="0.3">
      <c r="B30" s="37" t="s">
        <v>346</v>
      </c>
      <c r="C30" s="94" t="s">
        <v>325</v>
      </c>
      <c r="D30" s="15">
        <v>61.69</v>
      </c>
      <c r="E30" s="102">
        <v>61.69</v>
      </c>
      <c r="F30" s="107"/>
    </row>
    <row r="31" spans="2:6" ht="36" thickBot="1" x14ac:dyDescent="0.35">
      <c r="B31" s="37" t="s">
        <v>347</v>
      </c>
      <c r="C31" s="19" t="s">
        <v>169</v>
      </c>
      <c r="D31" s="15">
        <v>100</v>
      </c>
      <c r="E31" s="102">
        <v>100</v>
      </c>
      <c r="F31" s="107"/>
    </row>
    <row r="32" spans="2:6" ht="33.75" customHeight="1" x14ac:dyDescent="0.25">
      <c r="B32" s="170" t="s">
        <v>348</v>
      </c>
      <c r="C32" s="153"/>
      <c r="D32" s="153"/>
      <c r="E32" s="154"/>
    </row>
    <row r="33" spans="2:5" ht="201" customHeight="1" thickBot="1" x14ac:dyDescent="0.3">
      <c r="B33" s="155"/>
      <c r="C33" s="156"/>
      <c r="D33" s="156"/>
      <c r="E33" s="157"/>
    </row>
  </sheetData>
  <mergeCells count="7">
    <mergeCell ref="B32:E33"/>
    <mergeCell ref="E22:E23"/>
    <mergeCell ref="B4:E4"/>
    <mergeCell ref="E6:E9"/>
    <mergeCell ref="E11:E13"/>
    <mergeCell ref="E14:E18"/>
    <mergeCell ref="E19:E21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6778-5867-4857-B333-994E554BA921}">
  <dimension ref="A1:F9"/>
  <sheetViews>
    <sheetView workbookViewId="0">
      <selection activeCell="L18" sqref="L18"/>
    </sheetView>
  </sheetViews>
  <sheetFormatPr defaultRowHeight="15" x14ac:dyDescent="0.25"/>
  <cols>
    <col min="2" max="2" width="19.140625" customWidth="1"/>
    <col min="3" max="3" width="34.42578125" customWidth="1"/>
    <col min="4" max="4" width="21.7109375" customWidth="1"/>
    <col min="5" max="5" width="21.42578125" customWidth="1"/>
    <col min="6" max="6" width="26.7109375" customWidth="1"/>
  </cols>
  <sheetData>
    <row r="1" spans="1:6" x14ac:dyDescent="0.25">
      <c r="A1" t="s">
        <v>349</v>
      </c>
    </row>
    <row r="3" spans="1:6" ht="15.75" thickBot="1" x14ac:dyDescent="0.3"/>
    <row r="4" spans="1:6" ht="60" customHeight="1" x14ac:dyDescent="0.25">
      <c r="B4" s="129" t="s">
        <v>351</v>
      </c>
      <c r="C4" s="130"/>
      <c r="D4" s="130"/>
      <c r="E4" s="130"/>
      <c r="F4" s="131"/>
    </row>
    <row r="5" spans="1:6" ht="42" customHeight="1" thickBot="1" x14ac:dyDescent="0.3">
      <c r="B5" s="26" t="s">
        <v>2</v>
      </c>
      <c r="C5" s="27" t="s">
        <v>3</v>
      </c>
      <c r="D5" s="28" t="s">
        <v>4</v>
      </c>
      <c r="E5" s="11" t="s">
        <v>5</v>
      </c>
      <c r="F5" s="29" t="s">
        <v>6</v>
      </c>
    </row>
    <row r="6" spans="1:6" ht="42" customHeight="1" x14ac:dyDescent="0.45">
      <c r="B6" s="88">
        <v>1</v>
      </c>
      <c r="C6" s="61" t="s">
        <v>355</v>
      </c>
      <c r="D6" s="61">
        <v>1000</v>
      </c>
      <c r="E6" s="89"/>
      <c r="F6" s="90"/>
    </row>
    <row r="7" spans="1:6" ht="42" customHeight="1" x14ac:dyDescent="0.45">
      <c r="B7" s="61"/>
      <c r="C7" s="61"/>
      <c r="D7" s="61"/>
      <c r="E7" s="89"/>
      <c r="F7" s="90"/>
    </row>
    <row r="8" spans="1:6" ht="29.25" customHeight="1" x14ac:dyDescent="0.45">
      <c r="B8" s="180" t="s">
        <v>12</v>
      </c>
      <c r="C8" s="180"/>
      <c r="D8" s="61"/>
      <c r="E8" s="89"/>
      <c r="F8" s="90"/>
    </row>
    <row r="9" spans="1:6" ht="29.25" customHeight="1" x14ac:dyDescent="0.45">
      <c r="B9" s="181" t="s">
        <v>13</v>
      </c>
      <c r="C9" s="182"/>
      <c r="D9" s="7"/>
      <c r="E9" s="89"/>
      <c r="F9" s="90"/>
    </row>
  </sheetData>
  <mergeCells count="3">
    <mergeCell ref="B4:F4"/>
    <mergeCell ref="B8:C8"/>
    <mergeCell ref="B9:C9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A21231-F270-4ECE-A739-BAB12372F648}">
  <dimension ref="B3:F39"/>
  <sheetViews>
    <sheetView tabSelected="1" topLeftCell="A11" workbookViewId="0">
      <selection activeCell="B4" sqref="B4:E21"/>
    </sheetView>
  </sheetViews>
  <sheetFormatPr defaultRowHeight="15" x14ac:dyDescent="0.25"/>
  <cols>
    <col min="2" max="2" width="27" customWidth="1"/>
    <col min="3" max="3" width="50.28515625" customWidth="1"/>
    <col min="4" max="4" width="27.85546875" customWidth="1"/>
    <col min="5" max="5" width="30.140625" customWidth="1"/>
    <col min="6" max="6" width="20.7109375" customWidth="1"/>
  </cols>
  <sheetData>
    <row r="3" spans="2:6" ht="15.75" thickBot="1" x14ac:dyDescent="0.3"/>
    <row r="4" spans="2:6" ht="60" customHeight="1" thickBot="1" x14ac:dyDescent="0.3">
      <c r="B4" s="125" t="s">
        <v>353</v>
      </c>
      <c r="C4" s="126"/>
      <c r="D4" s="126"/>
      <c r="E4" s="127"/>
    </row>
    <row r="5" spans="2:6" ht="46.5" customHeight="1" x14ac:dyDescent="0.25">
      <c r="B5" s="116" t="s">
        <v>15</v>
      </c>
      <c r="C5" s="117" t="s">
        <v>16</v>
      </c>
      <c r="D5" s="117" t="s">
        <v>17</v>
      </c>
      <c r="E5" s="118" t="s">
        <v>18</v>
      </c>
    </row>
    <row r="6" spans="2:6" ht="36" customHeight="1" x14ac:dyDescent="0.25">
      <c r="B6" s="188" t="s">
        <v>354</v>
      </c>
      <c r="C6" s="189" t="s">
        <v>365</v>
      </c>
      <c r="D6" s="190">
        <v>90</v>
      </c>
      <c r="E6" s="191">
        <v>90</v>
      </c>
    </row>
    <row r="7" spans="2:6" ht="50.25" customHeight="1" x14ac:dyDescent="0.25">
      <c r="B7" s="192" t="s">
        <v>356</v>
      </c>
      <c r="C7" s="193" t="s">
        <v>366</v>
      </c>
      <c r="D7" s="190">
        <v>20</v>
      </c>
      <c r="E7" s="191">
        <v>20</v>
      </c>
    </row>
    <row r="8" spans="2:6" ht="36" customHeight="1" x14ac:dyDescent="0.25">
      <c r="B8" s="192" t="s">
        <v>355</v>
      </c>
      <c r="C8" s="194" t="s">
        <v>169</v>
      </c>
      <c r="D8" s="190">
        <v>30</v>
      </c>
      <c r="E8" s="195">
        <v>80.34</v>
      </c>
    </row>
    <row r="9" spans="2:6" ht="36" customHeight="1" x14ac:dyDescent="0.25">
      <c r="B9" s="192" t="s">
        <v>355</v>
      </c>
      <c r="C9" s="194" t="s">
        <v>253</v>
      </c>
      <c r="D9" s="190">
        <v>50.34</v>
      </c>
      <c r="E9" s="196"/>
    </row>
    <row r="10" spans="2:6" ht="36" customHeight="1" x14ac:dyDescent="0.45">
      <c r="B10" s="192" t="s">
        <v>357</v>
      </c>
      <c r="C10" s="197" t="s">
        <v>367</v>
      </c>
      <c r="D10" s="190">
        <v>150</v>
      </c>
      <c r="E10" s="195">
        <v>560</v>
      </c>
    </row>
    <row r="11" spans="2:6" ht="51" customHeight="1" x14ac:dyDescent="0.25">
      <c r="B11" s="192" t="s">
        <v>357</v>
      </c>
      <c r="C11" s="193" t="s">
        <v>366</v>
      </c>
      <c r="D11" s="190">
        <v>10</v>
      </c>
      <c r="E11" s="198"/>
    </row>
    <row r="12" spans="2:6" ht="36" customHeight="1" x14ac:dyDescent="0.25">
      <c r="B12" s="192" t="s">
        <v>357</v>
      </c>
      <c r="C12" s="189" t="s">
        <v>365</v>
      </c>
      <c r="D12" s="190">
        <v>300</v>
      </c>
      <c r="E12" s="198"/>
    </row>
    <row r="13" spans="2:6" ht="36" customHeight="1" thickBot="1" x14ac:dyDescent="0.3">
      <c r="B13" s="192" t="s">
        <v>357</v>
      </c>
      <c r="C13" s="194" t="s">
        <v>169</v>
      </c>
      <c r="D13" s="190">
        <v>100</v>
      </c>
      <c r="E13" s="198"/>
    </row>
    <row r="14" spans="2:6" ht="36" customHeight="1" x14ac:dyDescent="0.25">
      <c r="B14" s="192" t="s">
        <v>358</v>
      </c>
      <c r="C14" s="194" t="s">
        <v>253</v>
      </c>
      <c r="D14" s="199">
        <v>40</v>
      </c>
      <c r="E14" s="200">
        <v>140</v>
      </c>
    </row>
    <row r="15" spans="2:6" ht="36" customHeight="1" x14ac:dyDescent="0.45">
      <c r="B15" s="201" t="s">
        <v>358</v>
      </c>
      <c r="C15" s="202" t="s">
        <v>169</v>
      </c>
      <c r="D15" s="203">
        <v>100</v>
      </c>
      <c r="E15" s="204"/>
      <c r="F15" s="50"/>
    </row>
    <row r="16" spans="2:6" ht="36" customHeight="1" x14ac:dyDescent="0.45">
      <c r="B16" s="192" t="s">
        <v>359</v>
      </c>
      <c r="C16" s="205" t="s">
        <v>360</v>
      </c>
      <c r="D16" s="190">
        <v>10</v>
      </c>
      <c r="E16" s="191">
        <v>10</v>
      </c>
      <c r="F16" s="50"/>
    </row>
    <row r="17" spans="2:6" ht="36" customHeight="1" x14ac:dyDescent="0.25">
      <c r="B17" s="192" t="s">
        <v>361</v>
      </c>
      <c r="C17" s="194" t="s">
        <v>253</v>
      </c>
      <c r="D17" s="206">
        <v>25</v>
      </c>
      <c r="E17" s="195">
        <v>85.5</v>
      </c>
    </row>
    <row r="18" spans="2:6" ht="56.25" customHeight="1" x14ac:dyDescent="0.25">
      <c r="B18" s="192" t="s">
        <v>361</v>
      </c>
      <c r="C18" s="193" t="s">
        <v>366</v>
      </c>
      <c r="D18" s="190">
        <v>10</v>
      </c>
      <c r="E18" s="198"/>
    </row>
    <row r="19" spans="2:6" ht="36" customHeight="1" x14ac:dyDescent="0.25">
      <c r="B19" s="192" t="s">
        <v>361</v>
      </c>
      <c r="C19" s="202" t="s">
        <v>325</v>
      </c>
      <c r="D19" s="190">
        <v>50.5</v>
      </c>
      <c r="E19" s="196"/>
      <c r="F19" s="51"/>
    </row>
    <row r="20" spans="2:6" ht="49.5" customHeight="1" x14ac:dyDescent="0.5">
      <c r="B20" s="192" t="s">
        <v>362</v>
      </c>
      <c r="C20" s="193" t="s">
        <v>366</v>
      </c>
      <c r="D20" s="190">
        <v>10</v>
      </c>
      <c r="E20" s="191">
        <v>10</v>
      </c>
      <c r="F20" s="122"/>
    </row>
    <row r="21" spans="2:6" ht="54" customHeight="1" x14ac:dyDescent="0.5">
      <c r="B21" s="192" t="s">
        <v>363</v>
      </c>
      <c r="C21" s="193" t="s">
        <v>366</v>
      </c>
      <c r="D21" s="190">
        <v>20</v>
      </c>
      <c r="E21" s="191">
        <v>20</v>
      </c>
      <c r="F21" s="122" t="s">
        <v>364</v>
      </c>
    </row>
    <row r="22" spans="2:6" ht="61.5" customHeight="1" x14ac:dyDescent="0.25">
      <c r="B22" s="37"/>
      <c r="C22" s="17"/>
      <c r="D22" s="15"/>
      <c r="E22" s="123"/>
    </row>
    <row r="23" spans="2:6" ht="61.5" customHeight="1" x14ac:dyDescent="0.25">
      <c r="B23" s="37"/>
      <c r="C23" s="19"/>
      <c r="D23" s="15"/>
      <c r="E23" s="124"/>
    </row>
    <row r="24" spans="2:6" ht="61.5" customHeight="1" x14ac:dyDescent="0.25">
      <c r="B24" s="37"/>
      <c r="C24" s="95"/>
      <c r="D24" s="15"/>
      <c r="E24" s="102"/>
    </row>
    <row r="25" spans="2:6" ht="61.5" customHeight="1" x14ac:dyDescent="0.25">
      <c r="B25" s="37"/>
      <c r="C25" s="19"/>
      <c r="D25" s="15"/>
      <c r="E25" s="102"/>
    </row>
    <row r="26" spans="2:6" ht="61.5" customHeight="1" x14ac:dyDescent="0.25">
      <c r="B26" s="37"/>
      <c r="C26" s="19"/>
      <c r="D26" s="15"/>
      <c r="E26" s="102"/>
    </row>
    <row r="27" spans="2:6" ht="61.5" customHeight="1" x14ac:dyDescent="0.25">
      <c r="B27" s="37"/>
      <c r="C27" s="19"/>
      <c r="D27" s="15"/>
      <c r="E27" s="102"/>
    </row>
    <row r="28" spans="2:6" ht="61.5" customHeight="1" x14ac:dyDescent="0.25"/>
    <row r="29" spans="2:6" ht="61.5" customHeight="1" x14ac:dyDescent="0.25"/>
    <row r="30" spans="2:6" ht="61.5" customHeight="1" x14ac:dyDescent="0.25"/>
    <row r="31" spans="2:6" ht="61.5" customHeight="1" x14ac:dyDescent="0.25"/>
    <row r="32" spans="2:6" ht="61.5" customHeight="1" x14ac:dyDescent="0.25"/>
    <row r="33" ht="61.5" customHeight="1" x14ac:dyDescent="0.25"/>
    <row r="34" ht="61.5" customHeight="1" x14ac:dyDescent="0.25"/>
    <row r="35" ht="61.5" customHeight="1" x14ac:dyDescent="0.25"/>
    <row r="36" ht="61.5" customHeight="1" x14ac:dyDescent="0.25"/>
    <row r="37" ht="61.5" customHeight="1" x14ac:dyDescent="0.25"/>
    <row r="38" ht="61.5" customHeight="1" x14ac:dyDescent="0.25"/>
    <row r="39" ht="61.5" customHeight="1" x14ac:dyDescent="0.25"/>
  </sheetData>
  <mergeCells count="6">
    <mergeCell ref="E22:E23"/>
    <mergeCell ref="B4:E4"/>
    <mergeCell ref="E8:E9"/>
    <mergeCell ref="E10:E13"/>
    <mergeCell ref="E14:E15"/>
    <mergeCell ref="E17:E19"/>
  </mergeCells>
  <pageMargins left="0.7" right="0.7" top="0.75" bottom="0.75" header="0.3" footer="0.3"/>
  <pageSetup paperSize="9" orientation="portrait" horizontalDpi="0" verticalDpi="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3:G82"/>
  <sheetViews>
    <sheetView topLeftCell="A46" workbookViewId="0">
      <selection activeCell="F53" sqref="F53"/>
    </sheetView>
  </sheetViews>
  <sheetFormatPr defaultRowHeight="15" x14ac:dyDescent="0.25"/>
  <cols>
    <col min="2" max="2" width="25.140625" customWidth="1"/>
    <col min="3" max="3" width="39.140625" customWidth="1"/>
    <col min="4" max="4" width="25" customWidth="1"/>
    <col min="5" max="5" width="28.42578125" customWidth="1"/>
    <col min="6" max="6" width="36.7109375" customWidth="1"/>
    <col min="7" max="7" width="13.7109375" customWidth="1"/>
  </cols>
  <sheetData>
    <row r="3" spans="2:7" ht="15.75" thickBot="1" x14ac:dyDescent="0.3"/>
    <row r="4" spans="2:7" ht="67.5" customHeight="1" x14ac:dyDescent="0.25">
      <c r="B4" s="129" t="s">
        <v>323</v>
      </c>
      <c r="C4" s="130"/>
      <c r="D4" s="130"/>
      <c r="E4" s="130"/>
      <c r="F4" s="131"/>
    </row>
    <row r="5" spans="2:7" ht="27" thickBot="1" x14ac:dyDescent="0.3">
      <c r="B5" s="69" t="s">
        <v>2</v>
      </c>
      <c r="C5" s="2" t="s">
        <v>3</v>
      </c>
      <c r="D5" s="3" t="s">
        <v>4</v>
      </c>
      <c r="E5" s="4" t="s">
        <v>5</v>
      </c>
      <c r="F5" s="5" t="s">
        <v>6</v>
      </c>
    </row>
    <row r="6" spans="2:7" ht="28.5" x14ac:dyDescent="0.45">
      <c r="B6" s="6">
        <v>1</v>
      </c>
      <c r="C6" s="7" t="s">
        <v>7</v>
      </c>
      <c r="D6" s="8">
        <v>1000</v>
      </c>
      <c r="E6" s="89">
        <v>92</v>
      </c>
      <c r="F6" s="108">
        <f>E6*D6</f>
        <v>92000</v>
      </c>
    </row>
    <row r="7" spans="2:7" ht="28.5" x14ac:dyDescent="0.45">
      <c r="B7" s="6">
        <v>2</v>
      </c>
      <c r="C7" s="7" t="s">
        <v>8</v>
      </c>
      <c r="D7" s="8">
        <v>800</v>
      </c>
      <c r="E7" s="89">
        <v>92</v>
      </c>
      <c r="F7" s="108">
        <f t="shared" ref="F7:F47" si="0">E7*D7</f>
        <v>73600</v>
      </c>
    </row>
    <row r="8" spans="2:7" ht="28.5" x14ac:dyDescent="0.45">
      <c r="B8" s="6">
        <v>3</v>
      </c>
      <c r="C8" s="7" t="s">
        <v>9</v>
      </c>
      <c r="D8" s="8">
        <v>1000</v>
      </c>
      <c r="E8" s="89">
        <v>92</v>
      </c>
      <c r="F8" s="108">
        <f t="shared" si="0"/>
        <v>92000</v>
      </c>
    </row>
    <row r="9" spans="2:7" ht="28.5" x14ac:dyDescent="0.45">
      <c r="B9" s="6">
        <v>4</v>
      </c>
      <c r="C9" s="7" t="s">
        <v>10</v>
      </c>
      <c r="D9" s="8">
        <v>1000</v>
      </c>
      <c r="E9" s="89">
        <v>92</v>
      </c>
      <c r="F9" s="108">
        <f t="shared" si="0"/>
        <v>92000</v>
      </c>
    </row>
    <row r="10" spans="2:7" ht="28.5" x14ac:dyDescent="0.45">
      <c r="B10" s="6">
        <v>5</v>
      </c>
      <c r="C10" s="70" t="s">
        <v>11</v>
      </c>
      <c r="D10" s="71">
        <v>1000</v>
      </c>
      <c r="E10" s="89">
        <v>92</v>
      </c>
      <c r="F10" s="108">
        <f t="shared" si="0"/>
        <v>92000</v>
      </c>
      <c r="G10" s="103"/>
    </row>
    <row r="11" spans="2:7" ht="28.5" x14ac:dyDescent="0.45">
      <c r="B11" s="6">
        <v>6</v>
      </c>
      <c r="C11" s="70" t="s">
        <v>61</v>
      </c>
      <c r="D11" s="71">
        <v>400</v>
      </c>
      <c r="E11" s="89">
        <v>92</v>
      </c>
      <c r="F11" s="108">
        <f t="shared" si="0"/>
        <v>36800</v>
      </c>
    </row>
    <row r="12" spans="2:7" ht="28.5" x14ac:dyDescent="0.45">
      <c r="B12" s="6">
        <v>7</v>
      </c>
      <c r="C12" s="70" t="s">
        <v>62</v>
      </c>
      <c r="D12" s="71">
        <v>600</v>
      </c>
      <c r="E12" s="89">
        <v>92</v>
      </c>
      <c r="F12" s="108">
        <f t="shared" si="0"/>
        <v>55200</v>
      </c>
    </row>
    <row r="13" spans="2:7" ht="28.5" x14ac:dyDescent="0.45">
      <c r="B13" s="6">
        <v>8</v>
      </c>
      <c r="C13" s="70" t="s">
        <v>63</v>
      </c>
      <c r="D13" s="71">
        <v>1000</v>
      </c>
      <c r="E13" s="89">
        <v>92</v>
      </c>
      <c r="F13" s="108">
        <f t="shared" si="0"/>
        <v>92000</v>
      </c>
    </row>
    <row r="14" spans="2:7" ht="28.5" x14ac:dyDescent="0.45">
      <c r="B14" s="6">
        <v>9</v>
      </c>
      <c r="C14" s="70" t="s">
        <v>64</v>
      </c>
      <c r="D14" s="71">
        <v>1000</v>
      </c>
      <c r="E14" s="89">
        <v>92</v>
      </c>
      <c r="F14" s="108">
        <f t="shared" si="0"/>
        <v>92000</v>
      </c>
    </row>
    <row r="15" spans="2:7" ht="28.5" x14ac:dyDescent="0.45">
      <c r="B15" s="6">
        <v>10</v>
      </c>
      <c r="C15" s="70" t="s">
        <v>65</v>
      </c>
      <c r="D15" s="71">
        <v>1923</v>
      </c>
      <c r="E15" s="89">
        <v>92</v>
      </c>
      <c r="F15" s="108">
        <f t="shared" si="0"/>
        <v>176916</v>
      </c>
    </row>
    <row r="16" spans="2:7" ht="28.5" x14ac:dyDescent="0.45">
      <c r="B16" s="6">
        <v>11</v>
      </c>
      <c r="C16" s="70" t="s">
        <v>85</v>
      </c>
      <c r="D16" s="71">
        <v>1600</v>
      </c>
      <c r="E16" s="89">
        <v>92</v>
      </c>
      <c r="F16" s="108">
        <f t="shared" si="0"/>
        <v>147200</v>
      </c>
      <c r="G16" s="103"/>
    </row>
    <row r="17" spans="2:7" ht="28.5" x14ac:dyDescent="0.45">
      <c r="B17" s="6">
        <v>12</v>
      </c>
      <c r="C17" s="70" t="s">
        <v>99</v>
      </c>
      <c r="D17" s="71">
        <v>2000</v>
      </c>
      <c r="E17" s="89">
        <v>92</v>
      </c>
      <c r="F17" s="108">
        <f t="shared" si="0"/>
        <v>184000</v>
      </c>
    </row>
    <row r="18" spans="2:7" ht="28.5" x14ac:dyDescent="0.45">
      <c r="B18" s="6">
        <v>13</v>
      </c>
      <c r="C18" s="70" t="s">
        <v>107</v>
      </c>
      <c r="D18" s="71">
        <v>2400</v>
      </c>
      <c r="E18" s="89">
        <v>92</v>
      </c>
      <c r="F18" s="108">
        <f t="shared" si="0"/>
        <v>220800</v>
      </c>
    </row>
    <row r="19" spans="2:7" ht="28.5" x14ac:dyDescent="0.45">
      <c r="B19" s="6">
        <v>14</v>
      </c>
      <c r="C19" s="70" t="s">
        <v>114</v>
      </c>
      <c r="D19" s="71">
        <v>2400</v>
      </c>
      <c r="E19" s="89">
        <v>92</v>
      </c>
      <c r="F19" s="108">
        <f t="shared" si="0"/>
        <v>220800</v>
      </c>
    </row>
    <row r="20" spans="2:7" ht="28.5" x14ac:dyDescent="0.45">
      <c r="B20" s="6">
        <v>15</v>
      </c>
      <c r="C20" s="70" t="s">
        <v>120</v>
      </c>
      <c r="D20" s="71">
        <v>2400</v>
      </c>
      <c r="E20" s="89">
        <v>92</v>
      </c>
      <c r="F20" s="108">
        <f t="shared" si="0"/>
        <v>220800</v>
      </c>
    </row>
    <row r="21" spans="2:7" ht="28.5" x14ac:dyDescent="0.45">
      <c r="B21" s="6">
        <v>16</v>
      </c>
      <c r="C21" s="70" t="s">
        <v>128</v>
      </c>
      <c r="D21" s="71">
        <v>2400</v>
      </c>
      <c r="E21" s="89">
        <v>92</v>
      </c>
      <c r="F21" s="108">
        <f t="shared" si="0"/>
        <v>220800</v>
      </c>
      <c r="G21" s="67"/>
    </row>
    <row r="22" spans="2:7" ht="28.5" x14ac:dyDescent="0.45">
      <c r="B22" s="6">
        <v>17</v>
      </c>
      <c r="C22" s="70" t="s">
        <v>135</v>
      </c>
      <c r="D22" s="71">
        <v>2400</v>
      </c>
      <c r="E22" s="89">
        <v>92</v>
      </c>
      <c r="F22" s="108">
        <f t="shared" si="0"/>
        <v>220800</v>
      </c>
    </row>
    <row r="23" spans="2:7" ht="28.5" x14ac:dyDescent="0.45">
      <c r="B23" s="6">
        <v>18</v>
      </c>
      <c r="C23" s="70" t="s">
        <v>141</v>
      </c>
      <c r="D23" s="71">
        <v>2400</v>
      </c>
      <c r="E23" s="89">
        <v>92</v>
      </c>
      <c r="F23" s="108">
        <f t="shared" si="0"/>
        <v>220800</v>
      </c>
    </row>
    <row r="24" spans="2:7" ht="28.5" x14ac:dyDescent="0.45">
      <c r="B24" s="6">
        <v>19</v>
      </c>
      <c r="C24" s="70" t="s">
        <v>148</v>
      </c>
      <c r="D24" s="71">
        <v>2400</v>
      </c>
      <c r="E24" s="89">
        <v>92</v>
      </c>
      <c r="F24" s="108">
        <f t="shared" si="0"/>
        <v>220800</v>
      </c>
    </row>
    <row r="25" spans="2:7" ht="28.5" x14ac:dyDescent="0.45">
      <c r="B25" s="6">
        <v>20</v>
      </c>
      <c r="C25" s="7" t="s">
        <v>152</v>
      </c>
      <c r="D25" s="8">
        <v>2400</v>
      </c>
      <c r="E25" s="89">
        <v>92</v>
      </c>
      <c r="F25" s="108">
        <f t="shared" si="0"/>
        <v>220800</v>
      </c>
    </row>
    <row r="26" spans="2:7" ht="28.5" x14ac:dyDescent="0.45">
      <c r="B26" s="6">
        <v>21</v>
      </c>
      <c r="C26" s="7" t="s">
        <v>162</v>
      </c>
      <c r="D26" s="8">
        <v>2400</v>
      </c>
      <c r="E26" s="89">
        <v>92</v>
      </c>
      <c r="F26" s="108">
        <f t="shared" si="0"/>
        <v>220800</v>
      </c>
      <c r="G26" s="107"/>
    </row>
    <row r="27" spans="2:7" ht="28.5" x14ac:dyDescent="0.4">
      <c r="B27" s="6">
        <v>22</v>
      </c>
      <c r="C27" s="63" t="s">
        <v>172</v>
      </c>
      <c r="D27" s="8">
        <v>2800</v>
      </c>
      <c r="E27" s="89">
        <v>92</v>
      </c>
      <c r="F27" s="108">
        <f t="shared" si="0"/>
        <v>257600</v>
      </c>
    </row>
    <row r="28" spans="2:7" ht="28.5" x14ac:dyDescent="0.45">
      <c r="B28" s="6">
        <v>23</v>
      </c>
      <c r="C28" s="7" t="s">
        <v>187</v>
      </c>
      <c r="D28" s="8">
        <v>700</v>
      </c>
      <c r="E28" s="89">
        <v>92</v>
      </c>
      <c r="F28" s="108">
        <f t="shared" si="0"/>
        <v>64400</v>
      </c>
    </row>
    <row r="29" spans="2:7" ht="28.5" x14ac:dyDescent="0.45">
      <c r="B29" s="6">
        <v>24</v>
      </c>
      <c r="C29" s="7" t="s">
        <v>188</v>
      </c>
      <c r="D29" s="8">
        <v>2500</v>
      </c>
      <c r="E29" s="89">
        <v>92</v>
      </c>
      <c r="F29" s="108">
        <f t="shared" si="0"/>
        <v>230000</v>
      </c>
    </row>
    <row r="30" spans="2:7" ht="28.5" x14ac:dyDescent="0.45">
      <c r="B30" s="6">
        <v>25</v>
      </c>
      <c r="C30" s="7" t="s">
        <v>246</v>
      </c>
      <c r="D30" s="8">
        <v>1500</v>
      </c>
      <c r="E30" s="89">
        <v>92</v>
      </c>
      <c r="F30" s="108">
        <f t="shared" si="0"/>
        <v>138000</v>
      </c>
    </row>
    <row r="31" spans="2:7" ht="28.5" x14ac:dyDescent="0.45">
      <c r="B31" s="6">
        <v>26</v>
      </c>
      <c r="C31" s="7" t="s">
        <v>202</v>
      </c>
      <c r="D31" s="8">
        <v>1400</v>
      </c>
      <c r="E31" s="89">
        <v>92</v>
      </c>
      <c r="F31" s="108">
        <f t="shared" si="0"/>
        <v>128800</v>
      </c>
    </row>
    <row r="32" spans="2:7" ht="28.5" x14ac:dyDescent="0.45">
      <c r="B32" s="6">
        <v>27</v>
      </c>
      <c r="C32" s="7" t="s">
        <v>211</v>
      </c>
      <c r="D32" s="8">
        <v>1000</v>
      </c>
      <c r="E32" s="89">
        <v>92</v>
      </c>
      <c r="F32" s="108">
        <f t="shared" si="0"/>
        <v>92000</v>
      </c>
    </row>
    <row r="33" spans="2:7" ht="28.5" x14ac:dyDescent="0.4">
      <c r="B33" s="6">
        <v>28</v>
      </c>
      <c r="C33" s="104" t="s">
        <v>256</v>
      </c>
      <c r="D33" s="61">
        <v>2500</v>
      </c>
      <c r="E33" s="89">
        <v>92</v>
      </c>
      <c r="F33" s="108">
        <f t="shared" si="0"/>
        <v>230000</v>
      </c>
    </row>
    <row r="34" spans="2:7" ht="28.5" x14ac:dyDescent="0.45">
      <c r="B34" s="6">
        <v>29</v>
      </c>
      <c r="C34" s="105" t="s">
        <v>262</v>
      </c>
      <c r="D34" s="61">
        <v>2000</v>
      </c>
      <c r="E34" s="89">
        <v>92</v>
      </c>
      <c r="F34" s="108">
        <f t="shared" si="0"/>
        <v>184000</v>
      </c>
    </row>
    <row r="35" spans="2:7" ht="28.5" x14ac:dyDescent="0.45">
      <c r="B35" s="6">
        <v>30</v>
      </c>
      <c r="C35" s="105" t="s">
        <v>265</v>
      </c>
      <c r="D35" s="61">
        <v>1000</v>
      </c>
      <c r="E35" s="89">
        <v>92</v>
      </c>
      <c r="F35" s="108">
        <f t="shared" si="0"/>
        <v>92000</v>
      </c>
    </row>
    <row r="36" spans="2:7" ht="28.5" x14ac:dyDescent="0.45">
      <c r="B36" s="6">
        <v>31</v>
      </c>
      <c r="C36" s="105" t="s">
        <v>267</v>
      </c>
      <c r="D36" s="61">
        <v>1000</v>
      </c>
      <c r="E36" s="89">
        <v>92</v>
      </c>
      <c r="F36" s="108">
        <f t="shared" si="0"/>
        <v>92000</v>
      </c>
    </row>
    <row r="37" spans="2:7" ht="28.5" x14ac:dyDescent="0.45">
      <c r="B37" s="6">
        <v>32</v>
      </c>
      <c r="C37" s="105" t="s">
        <v>268</v>
      </c>
      <c r="D37" s="61">
        <v>1000</v>
      </c>
      <c r="E37" s="89">
        <v>92</v>
      </c>
      <c r="F37" s="108">
        <f t="shared" si="0"/>
        <v>92000</v>
      </c>
      <c r="G37" s="107"/>
    </row>
    <row r="38" spans="2:7" ht="28.5" x14ac:dyDescent="0.45">
      <c r="B38" s="6">
        <v>33</v>
      </c>
      <c r="C38" s="105" t="s">
        <v>273</v>
      </c>
      <c r="D38" s="61">
        <v>60</v>
      </c>
      <c r="E38" s="89">
        <v>92</v>
      </c>
      <c r="F38" s="108">
        <f t="shared" si="0"/>
        <v>5520</v>
      </c>
    </row>
    <row r="39" spans="2:7" ht="28.5" x14ac:dyDescent="0.45">
      <c r="B39" s="6">
        <v>34</v>
      </c>
      <c r="C39" s="105" t="s">
        <v>277</v>
      </c>
      <c r="D39" s="61">
        <v>1060</v>
      </c>
      <c r="E39" s="89">
        <v>92</v>
      </c>
      <c r="F39" s="108">
        <f t="shared" si="0"/>
        <v>97520</v>
      </c>
    </row>
    <row r="40" spans="2:7" ht="28.5" x14ac:dyDescent="0.4">
      <c r="B40" s="6">
        <v>35</v>
      </c>
      <c r="C40" s="104" t="s">
        <v>299</v>
      </c>
      <c r="D40" s="61">
        <v>1200</v>
      </c>
      <c r="E40" s="89">
        <v>92</v>
      </c>
      <c r="F40" s="108">
        <f t="shared" si="0"/>
        <v>110400</v>
      </c>
    </row>
    <row r="41" spans="2:7" ht="28.5" x14ac:dyDescent="0.45">
      <c r="B41" s="6">
        <v>36</v>
      </c>
      <c r="C41" s="105" t="s">
        <v>303</v>
      </c>
      <c r="D41" s="61">
        <v>1200</v>
      </c>
      <c r="E41" s="89">
        <v>92</v>
      </c>
      <c r="F41" s="108">
        <f t="shared" si="0"/>
        <v>110400</v>
      </c>
    </row>
    <row r="42" spans="2:7" ht="28.5" x14ac:dyDescent="0.45">
      <c r="B42" s="6">
        <v>37</v>
      </c>
      <c r="C42" s="105" t="s">
        <v>305</v>
      </c>
      <c r="D42" s="61">
        <v>1000</v>
      </c>
      <c r="E42" s="89">
        <v>92</v>
      </c>
      <c r="F42" s="108">
        <f t="shared" si="0"/>
        <v>92000</v>
      </c>
    </row>
    <row r="43" spans="2:7" ht="28.5" x14ac:dyDescent="0.45">
      <c r="B43" s="6">
        <v>38</v>
      </c>
      <c r="C43" s="105" t="s">
        <v>306</v>
      </c>
      <c r="D43" s="61">
        <v>1000</v>
      </c>
      <c r="E43" s="89">
        <v>92</v>
      </c>
      <c r="F43" s="108">
        <f t="shared" si="0"/>
        <v>92000</v>
      </c>
    </row>
    <row r="44" spans="2:7" ht="28.5" x14ac:dyDescent="0.45">
      <c r="B44" s="6">
        <v>39</v>
      </c>
      <c r="C44" s="105" t="s">
        <v>307</v>
      </c>
      <c r="D44" s="61">
        <v>1000</v>
      </c>
      <c r="E44" s="89">
        <v>92</v>
      </c>
      <c r="F44" s="108">
        <f t="shared" si="0"/>
        <v>92000</v>
      </c>
    </row>
    <row r="45" spans="2:7" ht="28.5" x14ac:dyDescent="0.45">
      <c r="B45" s="6">
        <v>40</v>
      </c>
      <c r="C45" s="105" t="s">
        <v>310</v>
      </c>
      <c r="D45" s="61">
        <v>1000</v>
      </c>
      <c r="E45" s="89">
        <v>92</v>
      </c>
      <c r="F45" s="108">
        <f t="shared" si="0"/>
        <v>92000</v>
      </c>
    </row>
    <row r="46" spans="2:7" ht="28.5" x14ac:dyDescent="0.45">
      <c r="B46" s="6">
        <v>41</v>
      </c>
      <c r="C46" s="105" t="s">
        <v>318</v>
      </c>
      <c r="D46" s="61">
        <v>1500</v>
      </c>
      <c r="E46" s="89">
        <v>92</v>
      </c>
      <c r="F46" s="108">
        <f t="shared" si="0"/>
        <v>138000</v>
      </c>
    </row>
    <row r="47" spans="2:7" ht="28.5" x14ac:dyDescent="0.4">
      <c r="B47" s="119">
        <v>42</v>
      </c>
      <c r="C47" s="104" t="s">
        <v>331</v>
      </c>
      <c r="D47" s="61">
        <v>1000</v>
      </c>
      <c r="E47" s="89">
        <v>92</v>
      </c>
      <c r="F47" s="108">
        <f t="shared" si="0"/>
        <v>92000</v>
      </c>
    </row>
    <row r="48" spans="2:7" ht="61.5" customHeight="1" thickBot="1" x14ac:dyDescent="0.3">
      <c r="B48" s="186" t="s">
        <v>158</v>
      </c>
      <c r="C48" s="187"/>
      <c r="D48" s="3">
        <v>62343</v>
      </c>
      <c r="E48" s="109">
        <v>92</v>
      </c>
      <c r="F48" s="110">
        <f>E48*D48</f>
        <v>5735556</v>
      </c>
    </row>
    <row r="49" spans="2:7" ht="28.5" x14ac:dyDescent="0.45">
      <c r="B49" s="49"/>
      <c r="C49" s="50"/>
      <c r="D49" s="51"/>
      <c r="E49" s="52"/>
      <c r="F49" s="53"/>
    </row>
    <row r="51" spans="2:7" ht="48" customHeight="1" x14ac:dyDescent="0.25">
      <c r="B51" s="4" t="s">
        <v>206</v>
      </c>
      <c r="C51" s="4" t="s">
        <v>207</v>
      </c>
      <c r="D51" s="4" t="s">
        <v>208</v>
      </c>
      <c r="E51" s="72" t="s">
        <v>5</v>
      </c>
      <c r="F51" s="4" t="s">
        <v>6</v>
      </c>
    </row>
    <row r="52" spans="2:7" ht="57" customHeight="1" x14ac:dyDescent="0.25">
      <c r="B52" s="4">
        <v>1</v>
      </c>
      <c r="C52" s="73" t="s">
        <v>334</v>
      </c>
      <c r="D52" s="4">
        <v>4800</v>
      </c>
      <c r="E52" s="72">
        <v>92</v>
      </c>
      <c r="F52" s="4">
        <f>E52*D52</f>
        <v>441600</v>
      </c>
      <c r="G52" s="114"/>
    </row>
    <row r="53" spans="2:7" ht="57" customHeight="1" x14ac:dyDescent="0.25">
      <c r="B53" s="4">
        <v>2</v>
      </c>
      <c r="C53" s="73" t="s">
        <v>335</v>
      </c>
      <c r="D53" s="4">
        <v>6523</v>
      </c>
      <c r="E53" s="72">
        <v>92</v>
      </c>
      <c r="F53" s="4">
        <f t="shared" ref="F53:F59" si="1">E53*D53</f>
        <v>600116</v>
      </c>
      <c r="G53" s="114"/>
    </row>
    <row r="54" spans="2:7" ht="67.5" customHeight="1" x14ac:dyDescent="0.25">
      <c r="B54" s="4">
        <v>3</v>
      </c>
      <c r="C54" s="73" t="s">
        <v>336</v>
      </c>
      <c r="D54" s="4">
        <v>11600</v>
      </c>
      <c r="E54" s="72">
        <v>92</v>
      </c>
      <c r="F54" s="4">
        <f t="shared" si="1"/>
        <v>1067200</v>
      </c>
      <c r="G54" s="114"/>
    </row>
    <row r="55" spans="2:7" ht="60.75" customHeight="1" x14ac:dyDescent="0.25">
      <c r="B55" s="4">
        <v>4</v>
      </c>
      <c r="C55" s="73" t="s">
        <v>337</v>
      </c>
      <c r="D55" s="4">
        <v>12000</v>
      </c>
      <c r="E55" s="72">
        <v>92</v>
      </c>
      <c r="F55" s="4">
        <f t="shared" si="1"/>
        <v>1104000</v>
      </c>
      <c r="G55" s="114"/>
    </row>
    <row r="56" spans="2:7" ht="65.25" customHeight="1" x14ac:dyDescent="0.25">
      <c r="B56" s="4">
        <v>5</v>
      </c>
      <c r="C56" s="73" t="s">
        <v>338</v>
      </c>
      <c r="D56" s="4">
        <v>9900</v>
      </c>
      <c r="E56" s="72">
        <v>92</v>
      </c>
      <c r="F56" s="4">
        <f t="shared" si="1"/>
        <v>910800</v>
      </c>
      <c r="G56" s="114"/>
    </row>
    <row r="57" spans="2:7" ht="63" customHeight="1" x14ac:dyDescent="0.25">
      <c r="B57" s="4">
        <v>6</v>
      </c>
      <c r="C57" s="73" t="s">
        <v>339</v>
      </c>
      <c r="D57" s="4">
        <v>8620</v>
      </c>
      <c r="E57" s="72">
        <v>92</v>
      </c>
      <c r="F57" s="4">
        <f t="shared" si="1"/>
        <v>793040</v>
      </c>
      <c r="G57" s="114"/>
    </row>
    <row r="58" spans="2:7" ht="52.5" customHeight="1" x14ac:dyDescent="0.25">
      <c r="B58" s="4">
        <v>7</v>
      </c>
      <c r="C58" s="73" t="s">
        <v>340</v>
      </c>
      <c r="D58" s="4">
        <v>7900</v>
      </c>
      <c r="E58" s="72">
        <v>92</v>
      </c>
      <c r="F58" s="4">
        <f t="shared" si="1"/>
        <v>726800</v>
      </c>
      <c r="G58" s="114"/>
    </row>
    <row r="59" spans="2:7" ht="52.5" customHeight="1" x14ac:dyDescent="0.25">
      <c r="B59" s="4">
        <v>8</v>
      </c>
      <c r="C59" s="73" t="s">
        <v>352</v>
      </c>
      <c r="D59" s="4">
        <v>1000</v>
      </c>
      <c r="E59" s="72">
        <v>92</v>
      </c>
      <c r="F59" s="4">
        <f t="shared" si="1"/>
        <v>92000</v>
      </c>
      <c r="G59" s="114"/>
    </row>
    <row r="60" spans="2:7" ht="53.25" customHeight="1" x14ac:dyDescent="0.25">
      <c r="B60" s="143" t="s">
        <v>209</v>
      </c>
      <c r="C60" s="143"/>
      <c r="D60" s="4">
        <v>62343</v>
      </c>
      <c r="E60" s="72">
        <v>92</v>
      </c>
      <c r="F60" s="4">
        <f>E60*D60</f>
        <v>5735556</v>
      </c>
    </row>
    <row r="61" spans="2:7" ht="28.5" x14ac:dyDescent="0.45">
      <c r="B61" s="49"/>
      <c r="C61" s="50"/>
      <c r="D61" s="51"/>
      <c r="E61" s="52"/>
      <c r="F61" s="53"/>
    </row>
    <row r="62" spans="2:7" ht="28.5" x14ac:dyDescent="0.45">
      <c r="B62" s="49"/>
      <c r="C62" s="50"/>
      <c r="D62" s="51"/>
      <c r="E62" s="52"/>
      <c r="F62" s="53"/>
    </row>
    <row r="63" spans="2:7" ht="28.5" x14ac:dyDescent="0.45">
      <c r="B63" s="49"/>
      <c r="C63" s="50"/>
      <c r="D63" s="51"/>
      <c r="E63" s="52"/>
      <c r="F63" s="53"/>
    </row>
    <row r="64" spans="2:7" ht="28.5" x14ac:dyDescent="0.45">
      <c r="B64" s="49"/>
      <c r="C64" s="50"/>
      <c r="D64" s="51"/>
      <c r="E64" s="52"/>
      <c r="F64" s="53"/>
    </row>
    <row r="65" spans="2:6" ht="28.5" x14ac:dyDescent="0.45">
      <c r="B65" s="49"/>
      <c r="C65" s="50"/>
      <c r="D65" s="51"/>
      <c r="E65" s="52"/>
      <c r="F65" s="53"/>
    </row>
    <row r="66" spans="2:6" ht="28.5" x14ac:dyDescent="0.45">
      <c r="B66" s="49"/>
      <c r="C66" s="50"/>
      <c r="D66" s="51"/>
      <c r="E66" s="52"/>
      <c r="F66" s="53"/>
    </row>
    <row r="67" spans="2:6" ht="28.5" x14ac:dyDescent="0.45">
      <c r="B67" s="49"/>
      <c r="C67" s="50"/>
      <c r="D67" s="51"/>
      <c r="E67" s="52"/>
      <c r="F67" s="53"/>
    </row>
    <row r="68" spans="2:6" ht="28.5" x14ac:dyDescent="0.45">
      <c r="B68" s="49"/>
      <c r="C68" s="50"/>
      <c r="D68" s="51"/>
      <c r="E68" s="52"/>
      <c r="F68" s="53"/>
    </row>
    <row r="69" spans="2:6" ht="28.5" x14ac:dyDescent="0.45">
      <c r="B69" s="49"/>
      <c r="C69" s="50"/>
      <c r="D69" s="51"/>
      <c r="E69" s="52"/>
      <c r="F69" s="53"/>
    </row>
    <row r="70" spans="2:6" ht="28.5" x14ac:dyDescent="0.45">
      <c r="B70" s="49"/>
      <c r="C70" s="50"/>
      <c r="D70" s="51"/>
      <c r="E70" s="52"/>
      <c r="F70" s="53"/>
    </row>
    <row r="71" spans="2:6" ht="28.5" x14ac:dyDescent="0.45">
      <c r="B71" s="49"/>
      <c r="C71" s="50"/>
      <c r="D71" s="51"/>
      <c r="E71" s="52"/>
      <c r="F71" s="53"/>
    </row>
    <row r="72" spans="2:6" ht="28.5" x14ac:dyDescent="0.45">
      <c r="B72" s="49"/>
      <c r="C72" s="50"/>
      <c r="D72" s="51"/>
      <c r="E72" s="52"/>
      <c r="F72" s="53"/>
    </row>
    <row r="73" spans="2:6" ht="28.5" x14ac:dyDescent="0.45">
      <c r="B73" s="49"/>
      <c r="C73" s="50"/>
      <c r="D73" s="51"/>
      <c r="E73" s="52"/>
      <c r="F73" s="53"/>
    </row>
    <row r="74" spans="2:6" ht="28.5" x14ac:dyDescent="0.45">
      <c r="B74" s="49"/>
      <c r="C74" s="50"/>
      <c r="D74" s="51"/>
      <c r="E74" s="52"/>
      <c r="F74" s="53"/>
    </row>
    <row r="75" spans="2:6" ht="28.5" x14ac:dyDescent="0.45">
      <c r="B75" s="49"/>
      <c r="C75" s="50"/>
      <c r="D75" s="51"/>
      <c r="E75" s="52"/>
      <c r="F75" s="53"/>
    </row>
    <row r="76" spans="2:6" ht="28.5" x14ac:dyDescent="0.45">
      <c r="B76" s="49"/>
      <c r="C76" s="50"/>
      <c r="D76" s="51"/>
      <c r="E76" s="52"/>
      <c r="F76" s="53"/>
    </row>
    <row r="77" spans="2:6" ht="28.5" x14ac:dyDescent="0.45">
      <c r="B77" s="49"/>
      <c r="C77" s="50"/>
      <c r="D77" s="51"/>
      <c r="E77" s="52"/>
      <c r="F77" s="53"/>
    </row>
    <row r="78" spans="2:6" ht="28.5" x14ac:dyDescent="0.45">
      <c r="B78" s="49"/>
      <c r="C78" s="50"/>
      <c r="D78" s="51"/>
      <c r="E78" s="52"/>
      <c r="F78" s="53"/>
    </row>
    <row r="79" spans="2:6" ht="28.5" x14ac:dyDescent="0.45">
      <c r="B79" s="49"/>
      <c r="C79" s="50"/>
      <c r="D79" s="51"/>
      <c r="E79" s="52"/>
      <c r="F79" s="53"/>
    </row>
    <row r="80" spans="2:6" ht="28.5" x14ac:dyDescent="0.45">
      <c r="B80" s="49"/>
      <c r="C80" s="50"/>
      <c r="D80" s="51"/>
      <c r="E80" s="52"/>
      <c r="F80" s="53"/>
    </row>
    <row r="81" spans="2:6" ht="33.75" x14ac:dyDescent="0.35">
      <c r="B81" s="54"/>
      <c r="C81" s="54"/>
      <c r="D81" s="55"/>
      <c r="E81" s="56"/>
      <c r="F81" s="57"/>
    </row>
    <row r="82" spans="2:6" ht="31.5" x14ac:dyDescent="0.25">
      <c r="B82" s="185"/>
      <c r="C82" s="185"/>
    </row>
  </sheetData>
  <mergeCells count="4">
    <mergeCell ref="B4:F4"/>
    <mergeCell ref="B82:C82"/>
    <mergeCell ref="B48:C48"/>
    <mergeCell ref="B60:C60"/>
  </mergeCells>
  <pageMargins left="0.70866141732283472" right="0.70866141732283472" top="0.43307086614173229" bottom="0.31496062992125984" header="0.31496062992125984" footer="0.31496062992125984"/>
  <pageSetup paperSize="9" scale="4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Desel Receivd Octo &amp; Nov.2025</vt:lpstr>
      <vt:lpstr>Oct &amp; Nov.2025...2</vt:lpstr>
      <vt:lpstr>Desel Received Dec.2025.1</vt:lpstr>
      <vt:lpstr>December 2025..2</vt:lpstr>
      <vt:lpstr>Desel Received Janeary 1.2026</vt:lpstr>
      <vt:lpstr>janeary 2026...2</vt:lpstr>
      <vt:lpstr>Diesel Received February 1 2026</vt:lpstr>
      <vt:lpstr>February 2.2026</vt:lpstr>
      <vt:lpstr>Diseal Received Mar 2026...1</vt:lpstr>
      <vt:lpstr>March .2026..2</vt:lpstr>
      <vt:lpstr>Diseal Received April 2026...1</vt:lpstr>
      <vt:lpstr>April ...2026 2</vt:lpstr>
      <vt:lpstr>Diseal Received May 2026...1</vt:lpstr>
      <vt:lpstr>May 2026...2</vt:lpstr>
      <vt:lpstr>Diseal Received June 2026...1</vt:lpstr>
      <vt:lpstr>June 2026....2</vt:lpstr>
      <vt:lpstr>Diseal Received Jule 2026..1</vt:lpstr>
      <vt:lpstr>Jule 2026..2</vt:lpstr>
      <vt:lpstr>Diseal Received Aug 2026..1</vt:lpstr>
      <vt:lpstr>Augast 2026.2</vt:lpstr>
      <vt:lpstr>16.10.2025 To 31.08. .2026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krushnkant Dhawade</dc:creator>
  <cp:lastModifiedBy>krushnkant Dhawade</cp:lastModifiedBy>
  <cp:lastPrinted>2026-07-20T07:14:59Z</cp:lastPrinted>
  <dcterms:created xsi:type="dcterms:W3CDTF">2025-12-23T11:29:26Z</dcterms:created>
  <dcterms:modified xsi:type="dcterms:W3CDTF">2026-08-25T06:33:40Z</dcterms:modified>
</cp:coreProperties>
</file>